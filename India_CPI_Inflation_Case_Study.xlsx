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10.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1.xml" ContentType="application/vnd.openxmlformats-officedocument.spreadsheetml.table+xml"/>
  <Override PartName="/xl/queryTables/queryTable1.xml" ContentType="application/vnd.openxmlformats-officedocument.spreadsheetml.query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G:\Coding Ninjas\EXCEL\India CPI Inflation - Case Study Project\"/>
    </mc:Choice>
  </mc:AlternateContent>
  <xr:revisionPtr revIDLastSave="0" documentId="13_ncr:1_{8EF66484-E972-4446-BF07-6E9FC848FBB2}" xr6:coauthVersionLast="47" xr6:coauthVersionMax="47" xr10:uidLastSave="{00000000-0000-0000-0000-000000000000}"/>
  <bookViews>
    <workbookView xWindow="-120" yWindow="-120" windowWidth="29040" windowHeight="16440" activeTab="1" xr2:uid="{00000000-000D-0000-FFFF-FFFF00000000}"/>
  </bookViews>
  <sheets>
    <sheet name="Q1 - Contribution" sheetId="13" r:id="rId1"/>
    <sheet name="Q2 - YoY Trend" sheetId="7" r:id="rId2"/>
    <sheet name="Q3 - Food Deep Dive" sheetId="8" r:id="rId3"/>
    <sheet name="Q4 - COVID Impact" sheetId="9" r:id="rId4"/>
    <sheet name="Q5 - Oil Correlation" sheetId="12" r:id="rId5"/>
    <sheet name="Cleaned Data" sheetId="1" r:id="rId6"/>
    <sheet name="Imputed Data" sheetId="3" r:id="rId7"/>
    <sheet name="MoM % Change" sheetId="4" r:id="rId8"/>
    <sheet name="YoY % Change" sheetId="5" r:id="rId9"/>
    <sheet name="Oil Price Data" sheetId="10" r:id="rId10"/>
  </sheets>
  <definedNames>
    <definedName name="ExternalData_1" localSheetId="5" hidden="1">'Cleaned Data'!$A$1:$AE$126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 i="8" l="1"/>
  <c r="B28" i="8"/>
  <c r="B27" i="8"/>
  <c r="B26" i="8"/>
  <c r="B25" i="8"/>
  <c r="B24" i="8"/>
  <c r="B23" i="8"/>
  <c r="B22" i="8"/>
  <c r="B21" i="8"/>
  <c r="B20" i="8"/>
  <c r="B19" i="8"/>
  <c r="B18" i="8"/>
  <c r="B17" i="8"/>
  <c r="E102" i="5"/>
  <c r="C40" i="13"/>
  <c r="B30" i="13"/>
  <c r="C30" i="13" s="1"/>
  <c r="B31" i="13"/>
  <c r="C31" i="13" s="1"/>
  <c r="B32" i="13"/>
  <c r="C32" i="13" s="1"/>
  <c r="B33" i="13"/>
  <c r="C33" i="13" s="1"/>
  <c r="B34" i="13"/>
  <c r="C34" i="13" s="1"/>
  <c r="B35" i="13"/>
  <c r="C35" i="13" s="1"/>
  <c r="B36" i="13"/>
  <c r="C36" i="13" s="1"/>
  <c r="B29" i="13"/>
  <c r="C29" i="13" s="1"/>
  <c r="C37" i="13" s="1"/>
  <c r="C25" i="13"/>
  <c r="C24" i="13"/>
  <c r="C23" i="13"/>
  <c r="C22" i="13"/>
  <c r="C21" i="13"/>
  <c r="C20" i="13"/>
  <c r="C19" i="13"/>
  <c r="C18" i="13"/>
  <c r="C17" i="13"/>
  <c r="C16" i="13"/>
  <c r="C15" i="13"/>
  <c r="C14" i="13"/>
  <c r="C13" i="13"/>
  <c r="C12" i="13"/>
  <c r="C11" i="13"/>
  <c r="C10" i="13"/>
  <c r="C9" i="13"/>
  <c r="C8" i="13"/>
  <c r="C7" i="13"/>
  <c r="C6" i="13"/>
  <c r="C5" i="13"/>
  <c r="C4" i="13"/>
  <c r="C3" i="13"/>
  <c r="C2" i="13"/>
  <c r="B32" i="12"/>
  <c r="B31"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B2" i="12"/>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I3" i="9"/>
  <c r="J3" i="9"/>
  <c r="K3" i="9"/>
  <c r="L3" i="9"/>
  <c r="I4" i="9"/>
  <c r="J4" i="9"/>
  <c r="K4" i="9"/>
  <c r="L4" i="9"/>
  <c r="I5" i="9"/>
  <c r="J5" i="9"/>
  <c r="K5" i="9"/>
  <c r="I6" i="9"/>
  <c r="I7" i="9"/>
  <c r="I8" i="9"/>
  <c r="J8" i="9"/>
  <c r="K8" i="9"/>
  <c r="L8" i="9"/>
  <c r="I9" i="9"/>
  <c r="J9" i="9"/>
  <c r="K9" i="9"/>
  <c r="L9" i="9"/>
  <c r="I10" i="9"/>
  <c r="J10" i="9"/>
  <c r="K10" i="9"/>
  <c r="L10" i="9"/>
  <c r="I11" i="9"/>
  <c r="J11" i="9"/>
  <c r="K11" i="9"/>
  <c r="L11" i="9"/>
  <c r="I12" i="9"/>
  <c r="J12" i="9"/>
  <c r="K12" i="9"/>
  <c r="L12" i="9"/>
  <c r="I13" i="9"/>
  <c r="J13" i="9"/>
  <c r="K13" i="9"/>
  <c r="L13" i="9"/>
  <c r="L2" i="9"/>
  <c r="K2" i="9"/>
  <c r="J2" i="9"/>
  <c r="I2" i="9"/>
  <c r="B5" i="9"/>
  <c r="B4" i="9"/>
  <c r="B3" i="9"/>
  <c r="B2" i="9"/>
  <c r="A3" i="8"/>
  <c r="B3" i="8"/>
  <c r="A4" i="8"/>
  <c r="B4" i="8"/>
  <c r="A5" i="8"/>
  <c r="B5" i="8"/>
  <c r="A6" i="8"/>
  <c r="B6" i="8"/>
  <c r="A7" i="8"/>
  <c r="B7" i="8"/>
  <c r="A8" i="8"/>
  <c r="B8" i="8"/>
  <c r="A9" i="8"/>
  <c r="B9" i="8"/>
  <c r="A10" i="8"/>
  <c r="B10" i="8"/>
  <c r="A11" i="8"/>
  <c r="B11" i="8"/>
  <c r="A12" i="8"/>
  <c r="B12" i="8"/>
  <c r="A13" i="8"/>
  <c r="B13" i="8"/>
  <c r="B2" i="8"/>
  <c r="A2" i="8"/>
  <c r="E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3" i="7"/>
  <c r="B44" i="7"/>
  <c r="B45" i="7"/>
  <c r="B46" i="7"/>
  <c r="B47" i="7"/>
  <c r="B48" i="7"/>
  <c r="B49" i="7"/>
  <c r="B50" i="7"/>
  <c r="B51" i="7"/>
  <c r="B52" i="7"/>
  <c r="B55" i="7"/>
  <c r="B56" i="7"/>
  <c r="B57" i="7"/>
  <c r="B58" i="7"/>
  <c r="B59" i="7"/>
  <c r="B60" i="7"/>
  <c r="B61" i="7"/>
  <c r="B62" i="7"/>
  <c r="B63" i="7"/>
  <c r="B64" i="7"/>
  <c r="B65" i="7"/>
  <c r="B66" i="7"/>
  <c r="B67" i="7"/>
  <c r="B68" i="7"/>
  <c r="B69" i="7"/>
  <c r="B70" i="7"/>
  <c r="B71" i="7"/>
  <c r="B72" i="7"/>
  <c r="B73" i="7"/>
  <c r="B74" i="7"/>
  <c r="B75" i="7"/>
  <c r="B76" i="7"/>
  <c r="B77" i="7"/>
  <c r="B78"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B2" i="7"/>
  <c r="A2" i="7"/>
  <c r="E3" i="7" s="1"/>
  <c r="F14" i="5"/>
  <c r="G14" i="5"/>
  <c r="H14" i="5"/>
  <c r="I14" i="5"/>
  <c r="J14" i="5"/>
  <c r="K14" i="5"/>
  <c r="L14" i="5"/>
  <c r="M14" i="5"/>
  <c r="N14" i="5"/>
  <c r="O14" i="5"/>
  <c r="P14" i="5"/>
  <c r="Q14" i="5"/>
  <c r="R14" i="5"/>
  <c r="S14" i="5"/>
  <c r="T14" i="5"/>
  <c r="U14" i="5"/>
  <c r="V14" i="5"/>
  <c r="W14" i="5"/>
  <c r="X14" i="5"/>
  <c r="Y14" i="5"/>
  <c r="Z14" i="5"/>
  <c r="AA14" i="5"/>
  <c r="AB14" i="5"/>
  <c r="AC14" i="5"/>
  <c r="AD14" i="5"/>
  <c r="AE14" i="5"/>
  <c r="F15" i="5"/>
  <c r="G15" i="5"/>
  <c r="H15" i="5"/>
  <c r="I15" i="5"/>
  <c r="J15" i="5"/>
  <c r="K15" i="5"/>
  <c r="L15" i="5"/>
  <c r="M15" i="5"/>
  <c r="N15" i="5"/>
  <c r="O15" i="5"/>
  <c r="P15" i="5"/>
  <c r="Q15" i="5"/>
  <c r="R15" i="5"/>
  <c r="S15" i="5"/>
  <c r="T15" i="5"/>
  <c r="U15" i="5"/>
  <c r="V15" i="5"/>
  <c r="W15" i="5"/>
  <c r="X15" i="5"/>
  <c r="Y15" i="5"/>
  <c r="Z15" i="5"/>
  <c r="AA15" i="5"/>
  <c r="AB15" i="5"/>
  <c r="AC15" i="5"/>
  <c r="AD15" i="5"/>
  <c r="AE15" i="5"/>
  <c r="F16" i="5"/>
  <c r="G16" i="5"/>
  <c r="H16" i="5"/>
  <c r="I16" i="5"/>
  <c r="J16" i="5"/>
  <c r="K16" i="5"/>
  <c r="L16" i="5"/>
  <c r="M16" i="5"/>
  <c r="N16" i="5"/>
  <c r="O16" i="5"/>
  <c r="P16" i="5"/>
  <c r="Q16" i="5"/>
  <c r="R16" i="5"/>
  <c r="S16" i="5"/>
  <c r="T16" i="5"/>
  <c r="U16" i="5"/>
  <c r="V16" i="5"/>
  <c r="W16" i="5"/>
  <c r="X16" i="5"/>
  <c r="Y16" i="5"/>
  <c r="Z16" i="5"/>
  <c r="AA16" i="5"/>
  <c r="AB16" i="5"/>
  <c r="AC16" i="5"/>
  <c r="AD16" i="5"/>
  <c r="AE16" i="5"/>
  <c r="F17" i="5"/>
  <c r="G17" i="5"/>
  <c r="H17" i="5"/>
  <c r="I17" i="5"/>
  <c r="J17" i="5"/>
  <c r="K17" i="5"/>
  <c r="L17" i="5"/>
  <c r="M17" i="5"/>
  <c r="N17" i="5"/>
  <c r="O17" i="5"/>
  <c r="P17" i="5"/>
  <c r="Q17" i="5"/>
  <c r="R17" i="5"/>
  <c r="S17" i="5"/>
  <c r="T17" i="5"/>
  <c r="U17" i="5"/>
  <c r="V17" i="5"/>
  <c r="W17" i="5"/>
  <c r="X17" i="5"/>
  <c r="Y17" i="5"/>
  <c r="Z17" i="5"/>
  <c r="AA17" i="5"/>
  <c r="AB17" i="5"/>
  <c r="AC17" i="5"/>
  <c r="AD17" i="5"/>
  <c r="AE17" i="5"/>
  <c r="F18" i="5"/>
  <c r="G18" i="5"/>
  <c r="H18" i="5"/>
  <c r="I18" i="5"/>
  <c r="J18" i="5"/>
  <c r="K18" i="5"/>
  <c r="L18" i="5"/>
  <c r="M18" i="5"/>
  <c r="N18" i="5"/>
  <c r="O18" i="5"/>
  <c r="P18" i="5"/>
  <c r="Q18" i="5"/>
  <c r="R18" i="5"/>
  <c r="S18" i="5"/>
  <c r="T18" i="5"/>
  <c r="U18" i="5"/>
  <c r="V18" i="5"/>
  <c r="W18" i="5"/>
  <c r="X18" i="5"/>
  <c r="Y18" i="5"/>
  <c r="Z18" i="5"/>
  <c r="AA18" i="5"/>
  <c r="AB18" i="5"/>
  <c r="AC18" i="5"/>
  <c r="AD18" i="5"/>
  <c r="AE18" i="5"/>
  <c r="F19" i="5"/>
  <c r="G19" i="5"/>
  <c r="H19" i="5"/>
  <c r="I19" i="5"/>
  <c r="J19" i="5"/>
  <c r="K19" i="5"/>
  <c r="L19" i="5"/>
  <c r="M19" i="5"/>
  <c r="N19" i="5"/>
  <c r="O19" i="5"/>
  <c r="P19" i="5"/>
  <c r="Q19" i="5"/>
  <c r="R19" i="5"/>
  <c r="S19" i="5"/>
  <c r="T19" i="5"/>
  <c r="U19" i="5"/>
  <c r="V19" i="5"/>
  <c r="W19" i="5"/>
  <c r="X19" i="5"/>
  <c r="Y19" i="5"/>
  <c r="Z19" i="5"/>
  <c r="AA19" i="5"/>
  <c r="AB19" i="5"/>
  <c r="AC19" i="5"/>
  <c r="AD19" i="5"/>
  <c r="AE19" i="5"/>
  <c r="F20" i="5"/>
  <c r="G20" i="5"/>
  <c r="H20" i="5"/>
  <c r="I20" i="5"/>
  <c r="J20" i="5"/>
  <c r="K20" i="5"/>
  <c r="L20" i="5"/>
  <c r="M20" i="5"/>
  <c r="N20" i="5"/>
  <c r="O20" i="5"/>
  <c r="P20" i="5"/>
  <c r="Q20" i="5"/>
  <c r="R20" i="5"/>
  <c r="S20" i="5"/>
  <c r="T20" i="5"/>
  <c r="U20" i="5"/>
  <c r="V20" i="5"/>
  <c r="W20" i="5"/>
  <c r="X20" i="5"/>
  <c r="Y20" i="5"/>
  <c r="Z20" i="5"/>
  <c r="AA20" i="5"/>
  <c r="AB20" i="5"/>
  <c r="AC20" i="5"/>
  <c r="AD20" i="5"/>
  <c r="AE20" i="5"/>
  <c r="F21" i="5"/>
  <c r="G21" i="5"/>
  <c r="H21" i="5"/>
  <c r="I21" i="5"/>
  <c r="J21" i="5"/>
  <c r="K21" i="5"/>
  <c r="L21" i="5"/>
  <c r="M21" i="5"/>
  <c r="N21" i="5"/>
  <c r="O21" i="5"/>
  <c r="P21" i="5"/>
  <c r="Q21" i="5"/>
  <c r="R21" i="5"/>
  <c r="S21" i="5"/>
  <c r="T21" i="5"/>
  <c r="U21" i="5"/>
  <c r="V21" i="5"/>
  <c r="W21" i="5"/>
  <c r="X21" i="5"/>
  <c r="Y21" i="5"/>
  <c r="Z21" i="5"/>
  <c r="AA21" i="5"/>
  <c r="AB21" i="5"/>
  <c r="AC21" i="5"/>
  <c r="AD21" i="5"/>
  <c r="AE21" i="5"/>
  <c r="F22" i="5"/>
  <c r="G22" i="5"/>
  <c r="H22" i="5"/>
  <c r="I22" i="5"/>
  <c r="J22" i="5"/>
  <c r="K22" i="5"/>
  <c r="L22" i="5"/>
  <c r="M22" i="5"/>
  <c r="N22" i="5"/>
  <c r="O22" i="5"/>
  <c r="P22" i="5"/>
  <c r="Q22" i="5"/>
  <c r="R22" i="5"/>
  <c r="S22" i="5"/>
  <c r="T22" i="5"/>
  <c r="U22" i="5"/>
  <c r="V22" i="5"/>
  <c r="W22" i="5"/>
  <c r="X22" i="5"/>
  <c r="Y22" i="5"/>
  <c r="Z22" i="5"/>
  <c r="AA22" i="5"/>
  <c r="AB22" i="5"/>
  <c r="AC22" i="5"/>
  <c r="AD22" i="5"/>
  <c r="AE22" i="5"/>
  <c r="F23" i="5"/>
  <c r="G23" i="5"/>
  <c r="H23" i="5"/>
  <c r="I23" i="5"/>
  <c r="J23" i="5"/>
  <c r="K23" i="5"/>
  <c r="L23" i="5"/>
  <c r="M23" i="5"/>
  <c r="N23" i="5"/>
  <c r="O23" i="5"/>
  <c r="P23" i="5"/>
  <c r="Q23" i="5"/>
  <c r="R23" i="5"/>
  <c r="S23" i="5"/>
  <c r="T23" i="5"/>
  <c r="U23" i="5"/>
  <c r="V23" i="5"/>
  <c r="W23" i="5"/>
  <c r="X23" i="5"/>
  <c r="Y23" i="5"/>
  <c r="Z23" i="5"/>
  <c r="AA23" i="5"/>
  <c r="AB23" i="5"/>
  <c r="AC23" i="5"/>
  <c r="AD23" i="5"/>
  <c r="AE23" i="5"/>
  <c r="F24" i="5"/>
  <c r="G24" i="5"/>
  <c r="H24" i="5"/>
  <c r="I24" i="5"/>
  <c r="J24" i="5"/>
  <c r="K24" i="5"/>
  <c r="L24" i="5"/>
  <c r="M24" i="5"/>
  <c r="N24" i="5"/>
  <c r="O24" i="5"/>
  <c r="P24" i="5"/>
  <c r="Q24" i="5"/>
  <c r="R24" i="5"/>
  <c r="S24" i="5"/>
  <c r="T24" i="5"/>
  <c r="U24" i="5"/>
  <c r="V24" i="5"/>
  <c r="W24" i="5"/>
  <c r="X24" i="5"/>
  <c r="Y24" i="5"/>
  <c r="Z24" i="5"/>
  <c r="AA24" i="5"/>
  <c r="AB24" i="5"/>
  <c r="AC24" i="5"/>
  <c r="AD24" i="5"/>
  <c r="AE24" i="5"/>
  <c r="F25" i="5"/>
  <c r="G25" i="5"/>
  <c r="H25" i="5"/>
  <c r="I25" i="5"/>
  <c r="J25" i="5"/>
  <c r="K25" i="5"/>
  <c r="L25" i="5"/>
  <c r="M25" i="5"/>
  <c r="N25" i="5"/>
  <c r="O25" i="5"/>
  <c r="P25" i="5"/>
  <c r="Q25" i="5"/>
  <c r="R25" i="5"/>
  <c r="S25" i="5"/>
  <c r="T25" i="5"/>
  <c r="U25" i="5"/>
  <c r="V25" i="5"/>
  <c r="W25" i="5"/>
  <c r="X25" i="5"/>
  <c r="Y25" i="5"/>
  <c r="Z25" i="5"/>
  <c r="AA25" i="5"/>
  <c r="AB25" i="5"/>
  <c r="AC25" i="5"/>
  <c r="AD25" i="5"/>
  <c r="AE25" i="5"/>
  <c r="F26" i="5"/>
  <c r="G26" i="5"/>
  <c r="H26" i="5"/>
  <c r="I26" i="5"/>
  <c r="J26" i="5"/>
  <c r="K26" i="5"/>
  <c r="L26" i="5"/>
  <c r="M26" i="5"/>
  <c r="N26" i="5"/>
  <c r="O26" i="5"/>
  <c r="P26" i="5"/>
  <c r="Q26" i="5"/>
  <c r="R26" i="5"/>
  <c r="S26" i="5"/>
  <c r="T26" i="5"/>
  <c r="U26" i="5"/>
  <c r="V26" i="5"/>
  <c r="W26" i="5"/>
  <c r="X26" i="5"/>
  <c r="Y26" i="5"/>
  <c r="Z26" i="5"/>
  <c r="AA26" i="5"/>
  <c r="AB26" i="5"/>
  <c r="AC26" i="5"/>
  <c r="AD26" i="5"/>
  <c r="AE26" i="5"/>
  <c r="F27" i="5"/>
  <c r="G27" i="5"/>
  <c r="H27" i="5"/>
  <c r="I27" i="5"/>
  <c r="J27" i="5"/>
  <c r="K27" i="5"/>
  <c r="L27" i="5"/>
  <c r="M27" i="5"/>
  <c r="N27" i="5"/>
  <c r="O27" i="5"/>
  <c r="P27" i="5"/>
  <c r="Q27" i="5"/>
  <c r="R27" i="5"/>
  <c r="S27" i="5"/>
  <c r="T27" i="5"/>
  <c r="U27" i="5"/>
  <c r="V27" i="5"/>
  <c r="W27" i="5"/>
  <c r="X27" i="5"/>
  <c r="Y27" i="5"/>
  <c r="Z27" i="5"/>
  <c r="AA27" i="5"/>
  <c r="AB27" i="5"/>
  <c r="AC27" i="5"/>
  <c r="AD27" i="5"/>
  <c r="AE27" i="5"/>
  <c r="F28" i="5"/>
  <c r="G28" i="5"/>
  <c r="H28" i="5"/>
  <c r="I28" i="5"/>
  <c r="J28" i="5"/>
  <c r="K28" i="5"/>
  <c r="L28" i="5"/>
  <c r="M28" i="5"/>
  <c r="N28" i="5"/>
  <c r="O28" i="5"/>
  <c r="P28" i="5"/>
  <c r="Q28" i="5"/>
  <c r="R28" i="5"/>
  <c r="S28" i="5"/>
  <c r="T28" i="5"/>
  <c r="U28" i="5"/>
  <c r="V28" i="5"/>
  <c r="W28" i="5"/>
  <c r="X28" i="5"/>
  <c r="Y28" i="5"/>
  <c r="Z28" i="5"/>
  <c r="AA28" i="5"/>
  <c r="AB28" i="5"/>
  <c r="AC28" i="5"/>
  <c r="AD28" i="5"/>
  <c r="AE28" i="5"/>
  <c r="F29" i="5"/>
  <c r="G29" i="5"/>
  <c r="H29" i="5"/>
  <c r="I29" i="5"/>
  <c r="J29" i="5"/>
  <c r="K29" i="5"/>
  <c r="L29" i="5"/>
  <c r="M29" i="5"/>
  <c r="N29" i="5"/>
  <c r="O29" i="5"/>
  <c r="P29" i="5"/>
  <c r="Q29" i="5"/>
  <c r="R29" i="5"/>
  <c r="S29" i="5"/>
  <c r="T29" i="5"/>
  <c r="U29" i="5"/>
  <c r="V29" i="5"/>
  <c r="W29" i="5"/>
  <c r="X29" i="5"/>
  <c r="Y29" i="5"/>
  <c r="Z29" i="5"/>
  <c r="AA29" i="5"/>
  <c r="AB29" i="5"/>
  <c r="AC29" i="5"/>
  <c r="AD29" i="5"/>
  <c r="AE29" i="5"/>
  <c r="F30" i="5"/>
  <c r="G30" i="5"/>
  <c r="H30" i="5"/>
  <c r="I30" i="5"/>
  <c r="J30" i="5"/>
  <c r="K30" i="5"/>
  <c r="L30" i="5"/>
  <c r="M30" i="5"/>
  <c r="N30" i="5"/>
  <c r="O30" i="5"/>
  <c r="P30" i="5"/>
  <c r="Q30" i="5"/>
  <c r="R30" i="5"/>
  <c r="S30" i="5"/>
  <c r="T30" i="5"/>
  <c r="U30" i="5"/>
  <c r="V30" i="5"/>
  <c r="W30" i="5"/>
  <c r="X30" i="5"/>
  <c r="Y30" i="5"/>
  <c r="Z30" i="5"/>
  <c r="AA30" i="5"/>
  <c r="AB30" i="5"/>
  <c r="AC30" i="5"/>
  <c r="AD30" i="5"/>
  <c r="AE30" i="5"/>
  <c r="F31" i="5"/>
  <c r="G31" i="5"/>
  <c r="H31" i="5"/>
  <c r="I31" i="5"/>
  <c r="J31" i="5"/>
  <c r="K31" i="5"/>
  <c r="L31" i="5"/>
  <c r="M31" i="5"/>
  <c r="N31" i="5"/>
  <c r="O31" i="5"/>
  <c r="P31" i="5"/>
  <c r="Q31" i="5"/>
  <c r="R31" i="5"/>
  <c r="S31" i="5"/>
  <c r="T31" i="5"/>
  <c r="U31" i="5"/>
  <c r="V31" i="5"/>
  <c r="W31" i="5"/>
  <c r="X31" i="5"/>
  <c r="Y31" i="5"/>
  <c r="Z31" i="5"/>
  <c r="AA31" i="5"/>
  <c r="AB31" i="5"/>
  <c r="AC31" i="5"/>
  <c r="AD31" i="5"/>
  <c r="AE31" i="5"/>
  <c r="F32" i="5"/>
  <c r="G32" i="5"/>
  <c r="H32" i="5"/>
  <c r="I32" i="5"/>
  <c r="J32" i="5"/>
  <c r="K32" i="5"/>
  <c r="L32" i="5"/>
  <c r="M32" i="5"/>
  <c r="N32" i="5"/>
  <c r="O32" i="5"/>
  <c r="P32" i="5"/>
  <c r="Q32" i="5"/>
  <c r="R32" i="5"/>
  <c r="S32" i="5"/>
  <c r="T32" i="5"/>
  <c r="U32" i="5"/>
  <c r="V32" i="5"/>
  <c r="W32" i="5"/>
  <c r="X32" i="5"/>
  <c r="Y32" i="5"/>
  <c r="Z32" i="5"/>
  <c r="AA32" i="5"/>
  <c r="AB32" i="5"/>
  <c r="AC32" i="5"/>
  <c r="AD32" i="5"/>
  <c r="AE32" i="5"/>
  <c r="F33" i="5"/>
  <c r="G33" i="5"/>
  <c r="H33" i="5"/>
  <c r="I33" i="5"/>
  <c r="J33" i="5"/>
  <c r="K33" i="5"/>
  <c r="L33" i="5"/>
  <c r="M33" i="5"/>
  <c r="N33" i="5"/>
  <c r="O33" i="5"/>
  <c r="P33" i="5"/>
  <c r="Q33" i="5"/>
  <c r="R33" i="5"/>
  <c r="S33" i="5"/>
  <c r="T33" i="5"/>
  <c r="U33" i="5"/>
  <c r="V33" i="5"/>
  <c r="W33" i="5"/>
  <c r="X33" i="5"/>
  <c r="Y33" i="5"/>
  <c r="Z33" i="5"/>
  <c r="AA33" i="5"/>
  <c r="AB33" i="5"/>
  <c r="AC33" i="5"/>
  <c r="AD33" i="5"/>
  <c r="AE33" i="5"/>
  <c r="F34" i="5"/>
  <c r="G34" i="5"/>
  <c r="H34" i="5"/>
  <c r="I34" i="5"/>
  <c r="J34" i="5"/>
  <c r="K34" i="5"/>
  <c r="L34" i="5"/>
  <c r="M34" i="5"/>
  <c r="N34" i="5"/>
  <c r="O34" i="5"/>
  <c r="P34" i="5"/>
  <c r="Q34" i="5"/>
  <c r="R34" i="5"/>
  <c r="S34" i="5"/>
  <c r="T34" i="5"/>
  <c r="U34" i="5"/>
  <c r="V34" i="5"/>
  <c r="W34" i="5"/>
  <c r="X34" i="5"/>
  <c r="Y34" i="5"/>
  <c r="Z34" i="5"/>
  <c r="AA34" i="5"/>
  <c r="AB34" i="5"/>
  <c r="AC34" i="5"/>
  <c r="AD34" i="5"/>
  <c r="AE34" i="5"/>
  <c r="F35" i="5"/>
  <c r="G35" i="5"/>
  <c r="H35" i="5"/>
  <c r="I35" i="5"/>
  <c r="J35" i="5"/>
  <c r="K35" i="5"/>
  <c r="L35" i="5"/>
  <c r="M35" i="5"/>
  <c r="N35" i="5"/>
  <c r="O35" i="5"/>
  <c r="P35" i="5"/>
  <c r="Q35" i="5"/>
  <c r="R35" i="5"/>
  <c r="S35" i="5"/>
  <c r="T35" i="5"/>
  <c r="U35" i="5"/>
  <c r="V35" i="5"/>
  <c r="W35" i="5"/>
  <c r="X35" i="5"/>
  <c r="Y35" i="5"/>
  <c r="Z35" i="5"/>
  <c r="AA35" i="5"/>
  <c r="AB35" i="5"/>
  <c r="AC35" i="5"/>
  <c r="AD35" i="5"/>
  <c r="AE35" i="5"/>
  <c r="F36" i="5"/>
  <c r="G36" i="5"/>
  <c r="H36" i="5"/>
  <c r="I36" i="5"/>
  <c r="J36" i="5"/>
  <c r="K36" i="5"/>
  <c r="L36" i="5"/>
  <c r="M36" i="5"/>
  <c r="N36" i="5"/>
  <c r="O36" i="5"/>
  <c r="P36" i="5"/>
  <c r="Q36" i="5"/>
  <c r="R36" i="5"/>
  <c r="S36" i="5"/>
  <c r="T36" i="5"/>
  <c r="U36" i="5"/>
  <c r="V36" i="5"/>
  <c r="W36" i="5"/>
  <c r="X36" i="5"/>
  <c r="Y36" i="5"/>
  <c r="Z36" i="5"/>
  <c r="AA36" i="5"/>
  <c r="AB36" i="5"/>
  <c r="AC36" i="5"/>
  <c r="AD36" i="5"/>
  <c r="AE36" i="5"/>
  <c r="F37" i="5"/>
  <c r="G37" i="5"/>
  <c r="H37" i="5"/>
  <c r="I37" i="5"/>
  <c r="J37" i="5"/>
  <c r="K37" i="5"/>
  <c r="L37" i="5"/>
  <c r="M37" i="5"/>
  <c r="N37" i="5"/>
  <c r="O37" i="5"/>
  <c r="P37" i="5"/>
  <c r="Q37" i="5"/>
  <c r="R37" i="5"/>
  <c r="S37" i="5"/>
  <c r="T37" i="5"/>
  <c r="U37" i="5"/>
  <c r="V37" i="5"/>
  <c r="W37" i="5"/>
  <c r="X37" i="5"/>
  <c r="Y37" i="5"/>
  <c r="Z37" i="5"/>
  <c r="AA37" i="5"/>
  <c r="AB37" i="5"/>
  <c r="AC37" i="5"/>
  <c r="AD37" i="5"/>
  <c r="AE37" i="5"/>
  <c r="F38" i="5"/>
  <c r="G38" i="5"/>
  <c r="H38" i="5"/>
  <c r="I38" i="5"/>
  <c r="J38" i="5"/>
  <c r="K38" i="5"/>
  <c r="L38" i="5"/>
  <c r="M38" i="5"/>
  <c r="N38" i="5"/>
  <c r="O38" i="5"/>
  <c r="P38" i="5"/>
  <c r="Q38" i="5"/>
  <c r="R38" i="5"/>
  <c r="S38" i="5"/>
  <c r="T38" i="5"/>
  <c r="U38" i="5"/>
  <c r="V38" i="5"/>
  <c r="W38" i="5"/>
  <c r="X38" i="5"/>
  <c r="Y38" i="5"/>
  <c r="Z38" i="5"/>
  <c r="AA38" i="5"/>
  <c r="AB38" i="5"/>
  <c r="AC38" i="5"/>
  <c r="AD38" i="5"/>
  <c r="AE38" i="5"/>
  <c r="F39" i="5"/>
  <c r="G39" i="5"/>
  <c r="H39" i="5"/>
  <c r="I39" i="5"/>
  <c r="J39" i="5"/>
  <c r="K39" i="5"/>
  <c r="L39" i="5"/>
  <c r="M39" i="5"/>
  <c r="N39" i="5"/>
  <c r="O39" i="5"/>
  <c r="P39" i="5"/>
  <c r="Q39" i="5"/>
  <c r="R39" i="5"/>
  <c r="S39" i="5"/>
  <c r="T39" i="5"/>
  <c r="U39" i="5"/>
  <c r="V39" i="5"/>
  <c r="W39" i="5"/>
  <c r="X39" i="5"/>
  <c r="Y39" i="5"/>
  <c r="Z39" i="5"/>
  <c r="AA39" i="5"/>
  <c r="AB39" i="5"/>
  <c r="AC39" i="5"/>
  <c r="AD39" i="5"/>
  <c r="AE39" i="5"/>
  <c r="F40" i="5"/>
  <c r="G40" i="5"/>
  <c r="H40" i="5"/>
  <c r="I40" i="5"/>
  <c r="J40" i="5"/>
  <c r="K40" i="5"/>
  <c r="L40" i="5"/>
  <c r="M40" i="5"/>
  <c r="N40" i="5"/>
  <c r="O40" i="5"/>
  <c r="P40" i="5"/>
  <c r="Q40" i="5"/>
  <c r="R40" i="5"/>
  <c r="S40" i="5"/>
  <c r="T40" i="5"/>
  <c r="U40" i="5"/>
  <c r="V40" i="5"/>
  <c r="W40" i="5"/>
  <c r="X40" i="5"/>
  <c r="Y40" i="5"/>
  <c r="Z40" i="5"/>
  <c r="AA40" i="5"/>
  <c r="AB40" i="5"/>
  <c r="AC40" i="5"/>
  <c r="AD40" i="5"/>
  <c r="AE40" i="5"/>
  <c r="F41" i="5"/>
  <c r="G41" i="5"/>
  <c r="H41" i="5"/>
  <c r="I41" i="5"/>
  <c r="J41" i="5"/>
  <c r="K41" i="5"/>
  <c r="L41" i="5"/>
  <c r="M41" i="5"/>
  <c r="N41" i="5"/>
  <c r="O41" i="5"/>
  <c r="P41" i="5"/>
  <c r="Q41" i="5"/>
  <c r="R41" i="5"/>
  <c r="S41" i="5"/>
  <c r="T41" i="5"/>
  <c r="U41" i="5"/>
  <c r="V41" i="5"/>
  <c r="W41" i="5"/>
  <c r="X41" i="5"/>
  <c r="Y41" i="5"/>
  <c r="Z41" i="5"/>
  <c r="AA41" i="5"/>
  <c r="AB41" i="5"/>
  <c r="AC41" i="5"/>
  <c r="AD41" i="5"/>
  <c r="AE41" i="5"/>
  <c r="F42" i="5"/>
  <c r="G42" i="5"/>
  <c r="H42" i="5"/>
  <c r="I42" i="5"/>
  <c r="J42" i="5"/>
  <c r="K42" i="5"/>
  <c r="L42" i="5"/>
  <c r="M42" i="5"/>
  <c r="N42" i="5"/>
  <c r="O42" i="5"/>
  <c r="P42" i="5"/>
  <c r="Q42" i="5"/>
  <c r="R42" i="5"/>
  <c r="S42" i="5"/>
  <c r="T42" i="5"/>
  <c r="U42" i="5"/>
  <c r="V42" i="5"/>
  <c r="W42" i="5"/>
  <c r="X42" i="5"/>
  <c r="Y42" i="5"/>
  <c r="Z42" i="5"/>
  <c r="AA42" i="5"/>
  <c r="AB42" i="5"/>
  <c r="AC42" i="5"/>
  <c r="AD42" i="5"/>
  <c r="AE42" i="5"/>
  <c r="F43" i="5"/>
  <c r="G43" i="5"/>
  <c r="H43" i="5"/>
  <c r="I43" i="5"/>
  <c r="J43" i="5"/>
  <c r="K43" i="5"/>
  <c r="L43" i="5"/>
  <c r="M43" i="5"/>
  <c r="N43" i="5"/>
  <c r="O43" i="5"/>
  <c r="P43" i="5"/>
  <c r="Q43" i="5"/>
  <c r="R43" i="5"/>
  <c r="S43" i="5"/>
  <c r="T43" i="5"/>
  <c r="U43" i="5"/>
  <c r="V43" i="5"/>
  <c r="W43" i="5"/>
  <c r="X43" i="5"/>
  <c r="Y43" i="5"/>
  <c r="Z43" i="5"/>
  <c r="AA43" i="5"/>
  <c r="AB43" i="5"/>
  <c r="AC43" i="5"/>
  <c r="AD43" i="5"/>
  <c r="AE43" i="5"/>
  <c r="F44" i="5"/>
  <c r="G44" i="5"/>
  <c r="H44" i="5"/>
  <c r="I44" i="5"/>
  <c r="J44" i="5"/>
  <c r="K44" i="5"/>
  <c r="L44" i="5"/>
  <c r="M44" i="5"/>
  <c r="N44" i="5"/>
  <c r="O44" i="5"/>
  <c r="P44" i="5"/>
  <c r="Q44" i="5"/>
  <c r="R44" i="5"/>
  <c r="S44" i="5"/>
  <c r="T44" i="5"/>
  <c r="U44" i="5"/>
  <c r="V44" i="5"/>
  <c r="W44" i="5"/>
  <c r="X44" i="5"/>
  <c r="Y44" i="5"/>
  <c r="Z44" i="5"/>
  <c r="AA44" i="5"/>
  <c r="AB44" i="5"/>
  <c r="AC44" i="5"/>
  <c r="AD44" i="5"/>
  <c r="AE44" i="5"/>
  <c r="F45" i="5"/>
  <c r="G45" i="5"/>
  <c r="H45" i="5"/>
  <c r="I45" i="5"/>
  <c r="J45" i="5"/>
  <c r="K45" i="5"/>
  <c r="L45" i="5"/>
  <c r="M45" i="5"/>
  <c r="N45" i="5"/>
  <c r="O45" i="5"/>
  <c r="P45" i="5"/>
  <c r="Q45" i="5"/>
  <c r="R45" i="5"/>
  <c r="S45" i="5"/>
  <c r="T45" i="5"/>
  <c r="U45" i="5"/>
  <c r="V45" i="5"/>
  <c r="W45" i="5"/>
  <c r="X45" i="5"/>
  <c r="Y45" i="5"/>
  <c r="Z45" i="5"/>
  <c r="AA45" i="5"/>
  <c r="AB45" i="5"/>
  <c r="AC45" i="5"/>
  <c r="AD45" i="5"/>
  <c r="AE45" i="5"/>
  <c r="F46" i="5"/>
  <c r="G46" i="5"/>
  <c r="H46" i="5"/>
  <c r="I46" i="5"/>
  <c r="J46" i="5"/>
  <c r="K46" i="5"/>
  <c r="L46" i="5"/>
  <c r="M46" i="5"/>
  <c r="N46" i="5"/>
  <c r="O46" i="5"/>
  <c r="P46" i="5"/>
  <c r="Q46" i="5"/>
  <c r="R46" i="5"/>
  <c r="S46" i="5"/>
  <c r="T46" i="5"/>
  <c r="U46" i="5"/>
  <c r="V46" i="5"/>
  <c r="W46" i="5"/>
  <c r="X46" i="5"/>
  <c r="Y46" i="5"/>
  <c r="Z46" i="5"/>
  <c r="AA46" i="5"/>
  <c r="AB46" i="5"/>
  <c r="AC46" i="5"/>
  <c r="AD46" i="5"/>
  <c r="AE46" i="5"/>
  <c r="F47" i="5"/>
  <c r="G47" i="5"/>
  <c r="H47" i="5"/>
  <c r="I47" i="5"/>
  <c r="J47" i="5"/>
  <c r="K47" i="5"/>
  <c r="L47" i="5"/>
  <c r="M47" i="5"/>
  <c r="N47" i="5"/>
  <c r="O47" i="5"/>
  <c r="P47" i="5"/>
  <c r="Q47" i="5"/>
  <c r="R47" i="5"/>
  <c r="S47" i="5"/>
  <c r="T47" i="5"/>
  <c r="U47" i="5"/>
  <c r="V47" i="5"/>
  <c r="W47" i="5"/>
  <c r="X47" i="5"/>
  <c r="Y47" i="5"/>
  <c r="Z47" i="5"/>
  <c r="AA47" i="5"/>
  <c r="AB47" i="5"/>
  <c r="AC47" i="5"/>
  <c r="AD47" i="5"/>
  <c r="AE47" i="5"/>
  <c r="F48" i="5"/>
  <c r="G48" i="5"/>
  <c r="H48" i="5"/>
  <c r="I48" i="5"/>
  <c r="J48" i="5"/>
  <c r="K48" i="5"/>
  <c r="L48" i="5"/>
  <c r="M48" i="5"/>
  <c r="N48" i="5"/>
  <c r="O48" i="5"/>
  <c r="P48" i="5"/>
  <c r="Q48" i="5"/>
  <c r="R48" i="5"/>
  <c r="S48" i="5"/>
  <c r="T48" i="5"/>
  <c r="U48" i="5"/>
  <c r="V48" i="5"/>
  <c r="W48" i="5"/>
  <c r="X48" i="5"/>
  <c r="Y48" i="5"/>
  <c r="Z48" i="5"/>
  <c r="AA48" i="5"/>
  <c r="AB48" i="5"/>
  <c r="AC48" i="5"/>
  <c r="AD48" i="5"/>
  <c r="AE48" i="5"/>
  <c r="F49" i="5"/>
  <c r="G49" i="5"/>
  <c r="H49" i="5"/>
  <c r="I49" i="5"/>
  <c r="J49" i="5"/>
  <c r="K49" i="5"/>
  <c r="L49" i="5"/>
  <c r="M49" i="5"/>
  <c r="N49" i="5"/>
  <c r="O49" i="5"/>
  <c r="P49" i="5"/>
  <c r="Q49" i="5"/>
  <c r="R49" i="5"/>
  <c r="S49" i="5"/>
  <c r="T49" i="5"/>
  <c r="U49" i="5"/>
  <c r="V49" i="5"/>
  <c r="W49" i="5"/>
  <c r="X49" i="5"/>
  <c r="Y49" i="5"/>
  <c r="Z49" i="5"/>
  <c r="AA49" i="5"/>
  <c r="AB49" i="5"/>
  <c r="AC49" i="5"/>
  <c r="AD49" i="5"/>
  <c r="AE49" i="5"/>
  <c r="F50" i="5"/>
  <c r="G50" i="5"/>
  <c r="H50" i="5"/>
  <c r="I50" i="5"/>
  <c r="J50" i="5"/>
  <c r="K50" i="5"/>
  <c r="L50" i="5"/>
  <c r="M50" i="5"/>
  <c r="N50" i="5"/>
  <c r="O50" i="5"/>
  <c r="P50" i="5"/>
  <c r="Q50" i="5"/>
  <c r="R50" i="5"/>
  <c r="S50" i="5"/>
  <c r="T50" i="5"/>
  <c r="U50" i="5"/>
  <c r="V50" i="5"/>
  <c r="W50" i="5"/>
  <c r="X50" i="5"/>
  <c r="Y50" i="5"/>
  <c r="Z50" i="5"/>
  <c r="AA50" i="5"/>
  <c r="AB50" i="5"/>
  <c r="AC50" i="5"/>
  <c r="AD50" i="5"/>
  <c r="AE50" i="5"/>
  <c r="F51" i="5"/>
  <c r="G51" i="5"/>
  <c r="H51" i="5"/>
  <c r="I51" i="5"/>
  <c r="J51" i="5"/>
  <c r="K51" i="5"/>
  <c r="L51" i="5"/>
  <c r="M51" i="5"/>
  <c r="N51" i="5"/>
  <c r="O51" i="5"/>
  <c r="P51" i="5"/>
  <c r="Q51" i="5"/>
  <c r="R51" i="5"/>
  <c r="S51" i="5"/>
  <c r="T51" i="5"/>
  <c r="U51" i="5"/>
  <c r="V51" i="5"/>
  <c r="W51" i="5"/>
  <c r="X51" i="5"/>
  <c r="Y51" i="5"/>
  <c r="Z51" i="5"/>
  <c r="AA51" i="5"/>
  <c r="AB51" i="5"/>
  <c r="AC51" i="5"/>
  <c r="AD51" i="5"/>
  <c r="AE51" i="5"/>
  <c r="F52" i="5"/>
  <c r="G52" i="5"/>
  <c r="H52" i="5"/>
  <c r="I52" i="5"/>
  <c r="J52" i="5"/>
  <c r="K52" i="5"/>
  <c r="L52" i="5"/>
  <c r="M52" i="5"/>
  <c r="N52" i="5"/>
  <c r="O52" i="5"/>
  <c r="P52" i="5"/>
  <c r="Q52" i="5"/>
  <c r="R52" i="5"/>
  <c r="S52" i="5"/>
  <c r="T52" i="5"/>
  <c r="U52" i="5"/>
  <c r="V52" i="5"/>
  <c r="W52" i="5"/>
  <c r="X52" i="5"/>
  <c r="Y52" i="5"/>
  <c r="Z52" i="5"/>
  <c r="AA52" i="5"/>
  <c r="AB52" i="5"/>
  <c r="AC52" i="5"/>
  <c r="AD52" i="5"/>
  <c r="AE52" i="5"/>
  <c r="F53" i="5"/>
  <c r="G53" i="5"/>
  <c r="H53" i="5"/>
  <c r="I53" i="5"/>
  <c r="J53" i="5"/>
  <c r="K53" i="5"/>
  <c r="L53" i="5"/>
  <c r="M53" i="5"/>
  <c r="N53" i="5"/>
  <c r="O53" i="5"/>
  <c r="P53" i="5"/>
  <c r="Q53" i="5"/>
  <c r="R53" i="5"/>
  <c r="S53" i="5"/>
  <c r="T53" i="5"/>
  <c r="U53" i="5"/>
  <c r="V53" i="5"/>
  <c r="W53" i="5"/>
  <c r="X53" i="5"/>
  <c r="Y53" i="5"/>
  <c r="Z53" i="5"/>
  <c r="AA53" i="5"/>
  <c r="AB53" i="5"/>
  <c r="AC53" i="5"/>
  <c r="AD53" i="5"/>
  <c r="AE53" i="5"/>
  <c r="F54" i="5"/>
  <c r="G54" i="5"/>
  <c r="H54" i="5"/>
  <c r="I54" i="5"/>
  <c r="J54" i="5"/>
  <c r="K54" i="5"/>
  <c r="L54" i="5"/>
  <c r="M54" i="5"/>
  <c r="N54" i="5"/>
  <c r="O54" i="5"/>
  <c r="P54" i="5"/>
  <c r="Q54" i="5"/>
  <c r="R54" i="5"/>
  <c r="S54" i="5"/>
  <c r="T54" i="5"/>
  <c r="U54" i="5"/>
  <c r="V54" i="5"/>
  <c r="W54" i="5"/>
  <c r="X54" i="5"/>
  <c r="Y54" i="5"/>
  <c r="Z54" i="5"/>
  <c r="AA54" i="5"/>
  <c r="AB54" i="5"/>
  <c r="AC54" i="5"/>
  <c r="AD54" i="5"/>
  <c r="AE54" i="5"/>
  <c r="F55" i="5"/>
  <c r="G55" i="5"/>
  <c r="H55" i="5"/>
  <c r="I55" i="5"/>
  <c r="J55" i="5"/>
  <c r="K55" i="5"/>
  <c r="L55" i="5"/>
  <c r="M55" i="5"/>
  <c r="N55" i="5"/>
  <c r="O55" i="5"/>
  <c r="P55" i="5"/>
  <c r="Q55" i="5"/>
  <c r="R55" i="5"/>
  <c r="S55" i="5"/>
  <c r="T55" i="5"/>
  <c r="U55" i="5"/>
  <c r="V55" i="5"/>
  <c r="W55" i="5"/>
  <c r="X55" i="5"/>
  <c r="Y55" i="5"/>
  <c r="Z55" i="5"/>
  <c r="AA55" i="5"/>
  <c r="AB55" i="5"/>
  <c r="AC55" i="5"/>
  <c r="AD55" i="5"/>
  <c r="AE55" i="5"/>
  <c r="F56" i="5"/>
  <c r="G56" i="5"/>
  <c r="H56" i="5"/>
  <c r="I56" i="5"/>
  <c r="J56" i="5"/>
  <c r="K56" i="5"/>
  <c r="L56" i="5"/>
  <c r="M56" i="5"/>
  <c r="N56" i="5"/>
  <c r="O56" i="5"/>
  <c r="P56" i="5"/>
  <c r="Q56" i="5"/>
  <c r="R56" i="5"/>
  <c r="S56" i="5"/>
  <c r="T56" i="5"/>
  <c r="U56" i="5"/>
  <c r="V56" i="5"/>
  <c r="W56" i="5"/>
  <c r="X56" i="5"/>
  <c r="Y56" i="5"/>
  <c r="Z56" i="5"/>
  <c r="AA56" i="5"/>
  <c r="AB56" i="5"/>
  <c r="AC56" i="5"/>
  <c r="AD56" i="5"/>
  <c r="AE56" i="5"/>
  <c r="F57" i="5"/>
  <c r="G57" i="5"/>
  <c r="H57" i="5"/>
  <c r="I57" i="5"/>
  <c r="J57" i="5"/>
  <c r="K57" i="5"/>
  <c r="L57" i="5"/>
  <c r="M57" i="5"/>
  <c r="N57" i="5"/>
  <c r="O57" i="5"/>
  <c r="P57" i="5"/>
  <c r="Q57" i="5"/>
  <c r="R57" i="5"/>
  <c r="S57" i="5"/>
  <c r="T57" i="5"/>
  <c r="U57" i="5"/>
  <c r="V57" i="5"/>
  <c r="W57" i="5"/>
  <c r="X57" i="5"/>
  <c r="Y57" i="5"/>
  <c r="Z57" i="5"/>
  <c r="AA57" i="5"/>
  <c r="AB57" i="5"/>
  <c r="AC57" i="5"/>
  <c r="AD57" i="5"/>
  <c r="AE57" i="5"/>
  <c r="F58" i="5"/>
  <c r="G58" i="5"/>
  <c r="H58" i="5"/>
  <c r="I58" i="5"/>
  <c r="J58" i="5"/>
  <c r="K58" i="5"/>
  <c r="L58" i="5"/>
  <c r="M58" i="5"/>
  <c r="N58" i="5"/>
  <c r="O58" i="5"/>
  <c r="P58" i="5"/>
  <c r="Q58" i="5"/>
  <c r="R58" i="5"/>
  <c r="S58" i="5"/>
  <c r="T58" i="5"/>
  <c r="U58" i="5"/>
  <c r="V58" i="5"/>
  <c r="W58" i="5"/>
  <c r="X58" i="5"/>
  <c r="Y58" i="5"/>
  <c r="Z58" i="5"/>
  <c r="AA58" i="5"/>
  <c r="AB58" i="5"/>
  <c r="AC58" i="5"/>
  <c r="AD58" i="5"/>
  <c r="AE58" i="5"/>
  <c r="F59" i="5"/>
  <c r="G59" i="5"/>
  <c r="H59" i="5"/>
  <c r="I59" i="5"/>
  <c r="J59" i="5"/>
  <c r="K59" i="5"/>
  <c r="L59" i="5"/>
  <c r="M59" i="5"/>
  <c r="N59" i="5"/>
  <c r="O59" i="5"/>
  <c r="P59" i="5"/>
  <c r="Q59" i="5"/>
  <c r="R59" i="5"/>
  <c r="S59" i="5"/>
  <c r="T59" i="5"/>
  <c r="U59" i="5"/>
  <c r="V59" i="5"/>
  <c r="W59" i="5"/>
  <c r="X59" i="5"/>
  <c r="Y59" i="5"/>
  <c r="Z59" i="5"/>
  <c r="AA59" i="5"/>
  <c r="AB59" i="5"/>
  <c r="AC59" i="5"/>
  <c r="AD59" i="5"/>
  <c r="AE59" i="5"/>
  <c r="F60" i="5"/>
  <c r="G60" i="5"/>
  <c r="H60" i="5"/>
  <c r="I60" i="5"/>
  <c r="J60" i="5"/>
  <c r="K60" i="5"/>
  <c r="L60" i="5"/>
  <c r="M60" i="5"/>
  <c r="N60" i="5"/>
  <c r="O60" i="5"/>
  <c r="P60" i="5"/>
  <c r="Q60" i="5"/>
  <c r="R60" i="5"/>
  <c r="S60" i="5"/>
  <c r="T60" i="5"/>
  <c r="U60" i="5"/>
  <c r="V60" i="5"/>
  <c r="W60" i="5"/>
  <c r="X60" i="5"/>
  <c r="Y60" i="5"/>
  <c r="Z60" i="5"/>
  <c r="AA60" i="5"/>
  <c r="AB60" i="5"/>
  <c r="AC60" i="5"/>
  <c r="AD60" i="5"/>
  <c r="AE60" i="5"/>
  <c r="F61" i="5"/>
  <c r="G61" i="5"/>
  <c r="H61" i="5"/>
  <c r="I61" i="5"/>
  <c r="J61" i="5"/>
  <c r="K61" i="5"/>
  <c r="L61" i="5"/>
  <c r="M61" i="5"/>
  <c r="N61" i="5"/>
  <c r="O61" i="5"/>
  <c r="P61" i="5"/>
  <c r="Q61" i="5"/>
  <c r="R61" i="5"/>
  <c r="S61" i="5"/>
  <c r="T61" i="5"/>
  <c r="U61" i="5"/>
  <c r="V61" i="5"/>
  <c r="W61" i="5"/>
  <c r="X61" i="5"/>
  <c r="Y61" i="5"/>
  <c r="Z61" i="5"/>
  <c r="AA61" i="5"/>
  <c r="AB61" i="5"/>
  <c r="AC61" i="5"/>
  <c r="AD61" i="5"/>
  <c r="AE61" i="5"/>
  <c r="F62" i="5"/>
  <c r="G62" i="5"/>
  <c r="H62" i="5"/>
  <c r="I62" i="5"/>
  <c r="J62" i="5"/>
  <c r="K62" i="5"/>
  <c r="L62" i="5"/>
  <c r="M62" i="5"/>
  <c r="N62" i="5"/>
  <c r="O62" i="5"/>
  <c r="P62" i="5"/>
  <c r="Q62" i="5"/>
  <c r="R62" i="5"/>
  <c r="S62" i="5"/>
  <c r="T62" i="5"/>
  <c r="U62" i="5"/>
  <c r="V62" i="5"/>
  <c r="W62" i="5"/>
  <c r="X62" i="5"/>
  <c r="Y62" i="5"/>
  <c r="Z62" i="5"/>
  <c r="AA62" i="5"/>
  <c r="AB62" i="5"/>
  <c r="AC62" i="5"/>
  <c r="AD62" i="5"/>
  <c r="AE62" i="5"/>
  <c r="F63" i="5"/>
  <c r="G63" i="5"/>
  <c r="H63" i="5"/>
  <c r="I63" i="5"/>
  <c r="J63" i="5"/>
  <c r="K63" i="5"/>
  <c r="L63" i="5"/>
  <c r="M63" i="5"/>
  <c r="N63" i="5"/>
  <c r="O63" i="5"/>
  <c r="P63" i="5"/>
  <c r="Q63" i="5"/>
  <c r="R63" i="5"/>
  <c r="S63" i="5"/>
  <c r="T63" i="5"/>
  <c r="U63" i="5"/>
  <c r="V63" i="5"/>
  <c r="W63" i="5"/>
  <c r="X63" i="5"/>
  <c r="Y63" i="5"/>
  <c r="Z63" i="5"/>
  <c r="AA63" i="5"/>
  <c r="AB63" i="5"/>
  <c r="AC63" i="5"/>
  <c r="AD63" i="5"/>
  <c r="AE63" i="5"/>
  <c r="F64" i="5"/>
  <c r="G64" i="5"/>
  <c r="H64" i="5"/>
  <c r="I64" i="5"/>
  <c r="J64" i="5"/>
  <c r="K64" i="5"/>
  <c r="L64" i="5"/>
  <c r="M64" i="5"/>
  <c r="N64" i="5"/>
  <c r="O64" i="5"/>
  <c r="P64" i="5"/>
  <c r="Q64" i="5"/>
  <c r="R64" i="5"/>
  <c r="S64" i="5"/>
  <c r="T64" i="5"/>
  <c r="U64" i="5"/>
  <c r="V64" i="5"/>
  <c r="W64" i="5"/>
  <c r="X64" i="5"/>
  <c r="Y64" i="5"/>
  <c r="Z64" i="5"/>
  <c r="AA64" i="5"/>
  <c r="AB64" i="5"/>
  <c r="AC64" i="5"/>
  <c r="AD64" i="5"/>
  <c r="AE64" i="5"/>
  <c r="F65" i="5"/>
  <c r="G65" i="5"/>
  <c r="H65" i="5"/>
  <c r="I65" i="5"/>
  <c r="J65" i="5"/>
  <c r="K65" i="5"/>
  <c r="L65" i="5"/>
  <c r="M65" i="5"/>
  <c r="N65" i="5"/>
  <c r="O65" i="5"/>
  <c r="P65" i="5"/>
  <c r="Q65" i="5"/>
  <c r="R65" i="5"/>
  <c r="S65" i="5"/>
  <c r="T65" i="5"/>
  <c r="U65" i="5"/>
  <c r="V65" i="5"/>
  <c r="W65" i="5"/>
  <c r="X65" i="5"/>
  <c r="Y65" i="5"/>
  <c r="Z65" i="5"/>
  <c r="AA65" i="5"/>
  <c r="AB65" i="5"/>
  <c r="AC65" i="5"/>
  <c r="AD65" i="5"/>
  <c r="AE65" i="5"/>
  <c r="F66" i="5"/>
  <c r="G66" i="5"/>
  <c r="H66" i="5"/>
  <c r="I66" i="5"/>
  <c r="J66" i="5"/>
  <c r="K66" i="5"/>
  <c r="L66" i="5"/>
  <c r="M66" i="5"/>
  <c r="N66" i="5"/>
  <c r="O66" i="5"/>
  <c r="P66" i="5"/>
  <c r="Q66" i="5"/>
  <c r="R66" i="5"/>
  <c r="S66" i="5"/>
  <c r="T66" i="5"/>
  <c r="U66" i="5"/>
  <c r="V66" i="5"/>
  <c r="W66" i="5"/>
  <c r="X66" i="5"/>
  <c r="Y66" i="5"/>
  <c r="Z66" i="5"/>
  <c r="AA66" i="5"/>
  <c r="AB66" i="5"/>
  <c r="AC66" i="5"/>
  <c r="AD66" i="5"/>
  <c r="AE66" i="5"/>
  <c r="F67" i="5"/>
  <c r="G67" i="5"/>
  <c r="H67" i="5"/>
  <c r="I67" i="5"/>
  <c r="J67" i="5"/>
  <c r="K67" i="5"/>
  <c r="L67" i="5"/>
  <c r="M67" i="5"/>
  <c r="N67" i="5"/>
  <c r="O67" i="5"/>
  <c r="P67" i="5"/>
  <c r="Q67" i="5"/>
  <c r="R67" i="5"/>
  <c r="S67" i="5"/>
  <c r="T67" i="5"/>
  <c r="U67" i="5"/>
  <c r="V67" i="5"/>
  <c r="W67" i="5"/>
  <c r="X67" i="5"/>
  <c r="Y67" i="5"/>
  <c r="Z67" i="5"/>
  <c r="AA67" i="5"/>
  <c r="AB67" i="5"/>
  <c r="AC67" i="5"/>
  <c r="AD67" i="5"/>
  <c r="AE67" i="5"/>
  <c r="F68" i="5"/>
  <c r="G68" i="5"/>
  <c r="H68" i="5"/>
  <c r="I68" i="5"/>
  <c r="J68" i="5"/>
  <c r="K68" i="5"/>
  <c r="L68" i="5"/>
  <c r="M68" i="5"/>
  <c r="N68" i="5"/>
  <c r="O68" i="5"/>
  <c r="P68" i="5"/>
  <c r="Q68" i="5"/>
  <c r="R68" i="5"/>
  <c r="S68" i="5"/>
  <c r="T68" i="5"/>
  <c r="U68" i="5"/>
  <c r="V68" i="5"/>
  <c r="W68" i="5"/>
  <c r="X68" i="5"/>
  <c r="Y68" i="5"/>
  <c r="Z68" i="5"/>
  <c r="AA68" i="5"/>
  <c r="AB68" i="5"/>
  <c r="AC68" i="5"/>
  <c r="AD68" i="5"/>
  <c r="AE68" i="5"/>
  <c r="F69" i="5"/>
  <c r="G69" i="5"/>
  <c r="H69" i="5"/>
  <c r="I69" i="5"/>
  <c r="J69" i="5"/>
  <c r="K69" i="5"/>
  <c r="L69" i="5"/>
  <c r="M69" i="5"/>
  <c r="N69" i="5"/>
  <c r="O69" i="5"/>
  <c r="P69" i="5"/>
  <c r="Q69" i="5"/>
  <c r="R69" i="5"/>
  <c r="S69" i="5"/>
  <c r="T69" i="5"/>
  <c r="U69" i="5"/>
  <c r="V69" i="5"/>
  <c r="W69" i="5"/>
  <c r="X69" i="5"/>
  <c r="Y69" i="5"/>
  <c r="Z69" i="5"/>
  <c r="AA69" i="5"/>
  <c r="AB69" i="5"/>
  <c r="AC69" i="5"/>
  <c r="AD69" i="5"/>
  <c r="AE69" i="5"/>
  <c r="F70" i="5"/>
  <c r="G70" i="5"/>
  <c r="H70" i="5"/>
  <c r="I70" i="5"/>
  <c r="J70" i="5"/>
  <c r="K70" i="5"/>
  <c r="L70" i="5"/>
  <c r="M70" i="5"/>
  <c r="N70" i="5"/>
  <c r="O70" i="5"/>
  <c r="P70" i="5"/>
  <c r="Q70" i="5"/>
  <c r="R70" i="5"/>
  <c r="S70" i="5"/>
  <c r="T70" i="5"/>
  <c r="U70" i="5"/>
  <c r="V70" i="5"/>
  <c r="W70" i="5"/>
  <c r="X70" i="5"/>
  <c r="Y70" i="5"/>
  <c r="Z70" i="5"/>
  <c r="AA70" i="5"/>
  <c r="AB70" i="5"/>
  <c r="AC70" i="5"/>
  <c r="AD70" i="5"/>
  <c r="AE70" i="5"/>
  <c r="F71" i="5"/>
  <c r="G71" i="5"/>
  <c r="H71" i="5"/>
  <c r="I71" i="5"/>
  <c r="J71" i="5"/>
  <c r="K71" i="5"/>
  <c r="L71" i="5"/>
  <c r="M71" i="5"/>
  <c r="N71" i="5"/>
  <c r="O71" i="5"/>
  <c r="P71" i="5"/>
  <c r="Q71" i="5"/>
  <c r="R71" i="5"/>
  <c r="S71" i="5"/>
  <c r="T71" i="5"/>
  <c r="U71" i="5"/>
  <c r="V71" i="5"/>
  <c r="W71" i="5"/>
  <c r="X71" i="5"/>
  <c r="Y71" i="5"/>
  <c r="Z71" i="5"/>
  <c r="AA71" i="5"/>
  <c r="AB71" i="5"/>
  <c r="AC71" i="5"/>
  <c r="AD71" i="5"/>
  <c r="AE71" i="5"/>
  <c r="F72" i="5"/>
  <c r="G72" i="5"/>
  <c r="H72" i="5"/>
  <c r="I72" i="5"/>
  <c r="J72" i="5"/>
  <c r="K72" i="5"/>
  <c r="L72" i="5"/>
  <c r="M72" i="5"/>
  <c r="N72" i="5"/>
  <c r="O72" i="5"/>
  <c r="P72" i="5"/>
  <c r="Q72" i="5"/>
  <c r="R72" i="5"/>
  <c r="S72" i="5"/>
  <c r="T72" i="5"/>
  <c r="U72" i="5"/>
  <c r="V72" i="5"/>
  <c r="W72" i="5"/>
  <c r="X72" i="5"/>
  <c r="Y72" i="5"/>
  <c r="Z72" i="5"/>
  <c r="AA72" i="5"/>
  <c r="AB72" i="5"/>
  <c r="AC72" i="5"/>
  <c r="AD72" i="5"/>
  <c r="AE72" i="5"/>
  <c r="F73" i="5"/>
  <c r="G73" i="5"/>
  <c r="H73" i="5"/>
  <c r="I73" i="5"/>
  <c r="J73" i="5"/>
  <c r="K73" i="5"/>
  <c r="L73" i="5"/>
  <c r="M73" i="5"/>
  <c r="N73" i="5"/>
  <c r="O73" i="5"/>
  <c r="P73" i="5"/>
  <c r="Q73" i="5"/>
  <c r="R73" i="5"/>
  <c r="S73" i="5"/>
  <c r="T73" i="5"/>
  <c r="U73" i="5"/>
  <c r="V73" i="5"/>
  <c r="W73" i="5"/>
  <c r="X73" i="5"/>
  <c r="Y73" i="5"/>
  <c r="Z73" i="5"/>
  <c r="AA73" i="5"/>
  <c r="AB73" i="5"/>
  <c r="AC73" i="5"/>
  <c r="AD73" i="5"/>
  <c r="AE73" i="5"/>
  <c r="F74" i="5"/>
  <c r="G74" i="5"/>
  <c r="H74" i="5"/>
  <c r="I74" i="5"/>
  <c r="J74" i="5"/>
  <c r="K74" i="5"/>
  <c r="L74" i="5"/>
  <c r="M74" i="5"/>
  <c r="N74" i="5"/>
  <c r="O74" i="5"/>
  <c r="P74" i="5"/>
  <c r="Q74" i="5"/>
  <c r="R74" i="5"/>
  <c r="S74" i="5"/>
  <c r="T74" i="5"/>
  <c r="U74" i="5"/>
  <c r="V74" i="5"/>
  <c r="W74" i="5"/>
  <c r="X74" i="5"/>
  <c r="Y74" i="5"/>
  <c r="Z74" i="5"/>
  <c r="AA74" i="5"/>
  <c r="AB74" i="5"/>
  <c r="AC74" i="5"/>
  <c r="AD74" i="5"/>
  <c r="AE74" i="5"/>
  <c r="F75" i="5"/>
  <c r="G75" i="5"/>
  <c r="H75" i="5"/>
  <c r="I75" i="5"/>
  <c r="J75" i="5"/>
  <c r="K75" i="5"/>
  <c r="L75" i="5"/>
  <c r="M75" i="5"/>
  <c r="N75" i="5"/>
  <c r="O75" i="5"/>
  <c r="P75" i="5"/>
  <c r="Q75" i="5"/>
  <c r="R75" i="5"/>
  <c r="S75" i="5"/>
  <c r="T75" i="5"/>
  <c r="U75" i="5"/>
  <c r="V75" i="5"/>
  <c r="W75" i="5"/>
  <c r="X75" i="5"/>
  <c r="Y75" i="5"/>
  <c r="Z75" i="5"/>
  <c r="AA75" i="5"/>
  <c r="AB75" i="5"/>
  <c r="AC75" i="5"/>
  <c r="AD75" i="5"/>
  <c r="AE75" i="5"/>
  <c r="F76" i="5"/>
  <c r="G76" i="5"/>
  <c r="H76" i="5"/>
  <c r="I76" i="5"/>
  <c r="J76" i="5"/>
  <c r="K76" i="5"/>
  <c r="L76" i="5"/>
  <c r="M76" i="5"/>
  <c r="N76" i="5"/>
  <c r="O76" i="5"/>
  <c r="P76" i="5"/>
  <c r="Q76" i="5"/>
  <c r="R76" i="5"/>
  <c r="S76" i="5"/>
  <c r="T76" i="5"/>
  <c r="U76" i="5"/>
  <c r="V76" i="5"/>
  <c r="W76" i="5"/>
  <c r="X76" i="5"/>
  <c r="Y76" i="5"/>
  <c r="Z76" i="5"/>
  <c r="AA76" i="5"/>
  <c r="AB76" i="5"/>
  <c r="AC76" i="5"/>
  <c r="AD76" i="5"/>
  <c r="AE76" i="5"/>
  <c r="F77" i="5"/>
  <c r="G77" i="5"/>
  <c r="H77" i="5"/>
  <c r="I77" i="5"/>
  <c r="J77" i="5"/>
  <c r="K77" i="5"/>
  <c r="L77" i="5"/>
  <c r="M77" i="5"/>
  <c r="N77" i="5"/>
  <c r="O77" i="5"/>
  <c r="P77" i="5"/>
  <c r="Q77" i="5"/>
  <c r="R77" i="5"/>
  <c r="S77" i="5"/>
  <c r="T77" i="5"/>
  <c r="U77" i="5"/>
  <c r="V77" i="5"/>
  <c r="W77" i="5"/>
  <c r="X77" i="5"/>
  <c r="Y77" i="5"/>
  <c r="Z77" i="5"/>
  <c r="AA77" i="5"/>
  <c r="AB77" i="5"/>
  <c r="AC77" i="5"/>
  <c r="AD77" i="5"/>
  <c r="AE77" i="5"/>
  <c r="F78" i="5"/>
  <c r="G78" i="5"/>
  <c r="H78" i="5"/>
  <c r="I78" i="5"/>
  <c r="J78" i="5"/>
  <c r="K78" i="5"/>
  <c r="L78" i="5"/>
  <c r="M78" i="5"/>
  <c r="N78" i="5"/>
  <c r="O78" i="5"/>
  <c r="P78" i="5"/>
  <c r="Q78" i="5"/>
  <c r="R78" i="5"/>
  <c r="S78" i="5"/>
  <c r="T78" i="5"/>
  <c r="U78" i="5"/>
  <c r="V78" i="5"/>
  <c r="W78" i="5"/>
  <c r="X78" i="5"/>
  <c r="Y78" i="5"/>
  <c r="Z78" i="5"/>
  <c r="AA78" i="5"/>
  <c r="AB78" i="5"/>
  <c r="AC78" i="5"/>
  <c r="AD78" i="5"/>
  <c r="AE78" i="5"/>
  <c r="F79" i="5"/>
  <c r="G79" i="5"/>
  <c r="H79" i="5"/>
  <c r="I79" i="5"/>
  <c r="J79" i="5"/>
  <c r="K79" i="5"/>
  <c r="L79" i="5"/>
  <c r="M79" i="5"/>
  <c r="N79" i="5"/>
  <c r="O79" i="5"/>
  <c r="P79" i="5"/>
  <c r="Q79" i="5"/>
  <c r="R79" i="5"/>
  <c r="S79" i="5"/>
  <c r="T79" i="5"/>
  <c r="U79" i="5"/>
  <c r="V79" i="5"/>
  <c r="W79" i="5"/>
  <c r="X79" i="5"/>
  <c r="Y79" i="5"/>
  <c r="Z79" i="5"/>
  <c r="AA79" i="5"/>
  <c r="AB79" i="5"/>
  <c r="AC79" i="5"/>
  <c r="AD79" i="5"/>
  <c r="AE79" i="5"/>
  <c r="F80" i="5"/>
  <c r="G80" i="5"/>
  <c r="H80" i="5"/>
  <c r="I80" i="5"/>
  <c r="J80" i="5"/>
  <c r="K80" i="5"/>
  <c r="L80" i="5"/>
  <c r="M80" i="5"/>
  <c r="N80" i="5"/>
  <c r="O80" i="5"/>
  <c r="P80" i="5"/>
  <c r="Q80" i="5"/>
  <c r="R80" i="5"/>
  <c r="S80" i="5"/>
  <c r="T80" i="5"/>
  <c r="U80" i="5"/>
  <c r="V80" i="5"/>
  <c r="W80" i="5"/>
  <c r="X80" i="5"/>
  <c r="Y80" i="5"/>
  <c r="Z80" i="5"/>
  <c r="AA80" i="5"/>
  <c r="AB80" i="5"/>
  <c r="AC80" i="5"/>
  <c r="AD80" i="5"/>
  <c r="AE80" i="5"/>
  <c r="F81" i="5"/>
  <c r="G81" i="5"/>
  <c r="H81" i="5"/>
  <c r="I81" i="5"/>
  <c r="J81" i="5"/>
  <c r="K81" i="5"/>
  <c r="L81" i="5"/>
  <c r="M81" i="5"/>
  <c r="N81" i="5"/>
  <c r="O81" i="5"/>
  <c r="P81" i="5"/>
  <c r="Q81" i="5"/>
  <c r="R81" i="5"/>
  <c r="S81" i="5"/>
  <c r="T81" i="5"/>
  <c r="U81" i="5"/>
  <c r="V81" i="5"/>
  <c r="W81" i="5"/>
  <c r="X81" i="5"/>
  <c r="Y81" i="5"/>
  <c r="Z81" i="5"/>
  <c r="AA81" i="5"/>
  <c r="AB81" i="5"/>
  <c r="AC81" i="5"/>
  <c r="AD81" i="5"/>
  <c r="AE81" i="5"/>
  <c r="F82" i="5"/>
  <c r="G82" i="5"/>
  <c r="H82" i="5"/>
  <c r="I82" i="5"/>
  <c r="J82" i="5"/>
  <c r="K82" i="5"/>
  <c r="L82" i="5"/>
  <c r="M82" i="5"/>
  <c r="N82" i="5"/>
  <c r="O82" i="5"/>
  <c r="P82" i="5"/>
  <c r="Q82" i="5"/>
  <c r="R82" i="5"/>
  <c r="S82" i="5"/>
  <c r="T82" i="5"/>
  <c r="U82" i="5"/>
  <c r="V82" i="5"/>
  <c r="W82" i="5"/>
  <c r="X82" i="5"/>
  <c r="Y82" i="5"/>
  <c r="Z82" i="5"/>
  <c r="AA82" i="5"/>
  <c r="AB82" i="5"/>
  <c r="AC82" i="5"/>
  <c r="AD82" i="5"/>
  <c r="AE82" i="5"/>
  <c r="F83" i="5"/>
  <c r="G83" i="5"/>
  <c r="H83" i="5"/>
  <c r="I83" i="5"/>
  <c r="J83" i="5"/>
  <c r="K83" i="5"/>
  <c r="L83" i="5"/>
  <c r="M83" i="5"/>
  <c r="N83" i="5"/>
  <c r="O83" i="5"/>
  <c r="P83" i="5"/>
  <c r="Q83" i="5"/>
  <c r="R83" i="5"/>
  <c r="S83" i="5"/>
  <c r="T83" i="5"/>
  <c r="U83" i="5"/>
  <c r="V83" i="5"/>
  <c r="W83" i="5"/>
  <c r="X83" i="5"/>
  <c r="Y83" i="5"/>
  <c r="Z83" i="5"/>
  <c r="AA83" i="5"/>
  <c r="AB83" i="5"/>
  <c r="AC83" i="5"/>
  <c r="AD83" i="5"/>
  <c r="AE83" i="5"/>
  <c r="F84" i="5"/>
  <c r="G84" i="5"/>
  <c r="H84" i="5"/>
  <c r="I84" i="5"/>
  <c r="J84" i="5"/>
  <c r="K84" i="5"/>
  <c r="L84" i="5"/>
  <c r="M84" i="5"/>
  <c r="N84" i="5"/>
  <c r="O84" i="5"/>
  <c r="P84" i="5"/>
  <c r="Q84" i="5"/>
  <c r="R84" i="5"/>
  <c r="S84" i="5"/>
  <c r="T84" i="5"/>
  <c r="U84" i="5"/>
  <c r="V84" i="5"/>
  <c r="W84" i="5"/>
  <c r="X84" i="5"/>
  <c r="Y84" i="5"/>
  <c r="Z84" i="5"/>
  <c r="AA84" i="5"/>
  <c r="AB84" i="5"/>
  <c r="AC84" i="5"/>
  <c r="AD84" i="5"/>
  <c r="AE84" i="5"/>
  <c r="F85" i="5"/>
  <c r="G85" i="5"/>
  <c r="H85" i="5"/>
  <c r="I85" i="5"/>
  <c r="J85" i="5"/>
  <c r="K85" i="5"/>
  <c r="L85" i="5"/>
  <c r="M85" i="5"/>
  <c r="N85" i="5"/>
  <c r="O85" i="5"/>
  <c r="P85" i="5"/>
  <c r="Q85" i="5"/>
  <c r="R85" i="5"/>
  <c r="S85" i="5"/>
  <c r="T85" i="5"/>
  <c r="U85" i="5"/>
  <c r="V85" i="5"/>
  <c r="W85" i="5"/>
  <c r="X85" i="5"/>
  <c r="Y85" i="5"/>
  <c r="Z85" i="5"/>
  <c r="AA85" i="5"/>
  <c r="AB85" i="5"/>
  <c r="AC85" i="5"/>
  <c r="AD85" i="5"/>
  <c r="AE85" i="5"/>
  <c r="F86" i="5"/>
  <c r="G86" i="5"/>
  <c r="H86" i="5"/>
  <c r="I86" i="5"/>
  <c r="J86" i="5"/>
  <c r="K86" i="5"/>
  <c r="L86" i="5"/>
  <c r="M86" i="5"/>
  <c r="N86" i="5"/>
  <c r="O86" i="5"/>
  <c r="P86" i="5"/>
  <c r="Q86" i="5"/>
  <c r="R86" i="5"/>
  <c r="S86" i="5"/>
  <c r="T86" i="5"/>
  <c r="U86" i="5"/>
  <c r="V86" i="5"/>
  <c r="W86" i="5"/>
  <c r="X86" i="5"/>
  <c r="Y86" i="5"/>
  <c r="Z86" i="5"/>
  <c r="AA86" i="5"/>
  <c r="AB86" i="5"/>
  <c r="AC86" i="5"/>
  <c r="AD86" i="5"/>
  <c r="AE86" i="5"/>
  <c r="F87" i="5"/>
  <c r="G87" i="5"/>
  <c r="H87" i="5"/>
  <c r="I87" i="5"/>
  <c r="J87" i="5"/>
  <c r="K87" i="5"/>
  <c r="L87" i="5"/>
  <c r="M87" i="5"/>
  <c r="N87" i="5"/>
  <c r="O87" i="5"/>
  <c r="P87" i="5"/>
  <c r="Q87" i="5"/>
  <c r="R87" i="5"/>
  <c r="S87" i="5"/>
  <c r="T87" i="5"/>
  <c r="U87" i="5"/>
  <c r="V87" i="5"/>
  <c r="W87" i="5"/>
  <c r="X87" i="5"/>
  <c r="Y87" i="5"/>
  <c r="Z87" i="5"/>
  <c r="AA87" i="5"/>
  <c r="AB87" i="5"/>
  <c r="AC87" i="5"/>
  <c r="AD87" i="5"/>
  <c r="AE87" i="5"/>
  <c r="F88" i="5"/>
  <c r="G88" i="5"/>
  <c r="H88" i="5"/>
  <c r="I88" i="5"/>
  <c r="J88" i="5"/>
  <c r="K88" i="5"/>
  <c r="L88" i="5"/>
  <c r="M88" i="5"/>
  <c r="N88" i="5"/>
  <c r="O88" i="5"/>
  <c r="P88" i="5"/>
  <c r="Q88" i="5"/>
  <c r="R88" i="5"/>
  <c r="S88" i="5"/>
  <c r="T88" i="5"/>
  <c r="U88" i="5"/>
  <c r="V88" i="5"/>
  <c r="W88" i="5"/>
  <c r="X88" i="5"/>
  <c r="Y88" i="5"/>
  <c r="Z88" i="5"/>
  <c r="AA88" i="5"/>
  <c r="AB88" i="5"/>
  <c r="AC88" i="5"/>
  <c r="AD88" i="5"/>
  <c r="AE88" i="5"/>
  <c r="F89" i="5"/>
  <c r="G89" i="5"/>
  <c r="H89" i="5"/>
  <c r="I89" i="5"/>
  <c r="J89" i="5"/>
  <c r="K89" i="5"/>
  <c r="L89" i="5"/>
  <c r="M89" i="5"/>
  <c r="N89" i="5"/>
  <c r="O89" i="5"/>
  <c r="P89" i="5"/>
  <c r="Q89" i="5"/>
  <c r="R89" i="5"/>
  <c r="S89" i="5"/>
  <c r="T89" i="5"/>
  <c r="U89" i="5"/>
  <c r="V89" i="5"/>
  <c r="W89" i="5"/>
  <c r="X89" i="5"/>
  <c r="Y89" i="5"/>
  <c r="Z89" i="5"/>
  <c r="AA89" i="5"/>
  <c r="AB89" i="5"/>
  <c r="AC89" i="5"/>
  <c r="AD89" i="5"/>
  <c r="AE89" i="5"/>
  <c r="B41" i="7" s="1"/>
  <c r="F90" i="5"/>
  <c r="G90" i="5"/>
  <c r="H90" i="5"/>
  <c r="I90" i="5"/>
  <c r="J90" i="5"/>
  <c r="K90" i="5"/>
  <c r="L90" i="5"/>
  <c r="M90" i="5"/>
  <c r="N90" i="5"/>
  <c r="O90" i="5"/>
  <c r="P90" i="5"/>
  <c r="Q90" i="5"/>
  <c r="R90" i="5"/>
  <c r="S90" i="5"/>
  <c r="T90" i="5"/>
  <c r="U90" i="5"/>
  <c r="V90" i="5"/>
  <c r="W90" i="5"/>
  <c r="X90" i="5"/>
  <c r="Y90" i="5"/>
  <c r="Z90" i="5"/>
  <c r="AA90" i="5"/>
  <c r="AB90" i="5"/>
  <c r="AC90" i="5"/>
  <c r="AD90" i="5"/>
  <c r="AE90" i="5"/>
  <c r="B42" i="7" s="1"/>
  <c r="F91" i="5"/>
  <c r="G91" i="5"/>
  <c r="H91" i="5"/>
  <c r="I91" i="5"/>
  <c r="J91" i="5"/>
  <c r="K91" i="5"/>
  <c r="L91" i="5"/>
  <c r="M91" i="5"/>
  <c r="N91" i="5"/>
  <c r="O91" i="5"/>
  <c r="P91" i="5"/>
  <c r="Q91" i="5"/>
  <c r="R91" i="5"/>
  <c r="S91" i="5"/>
  <c r="T91" i="5"/>
  <c r="U91" i="5"/>
  <c r="V91" i="5"/>
  <c r="W91" i="5"/>
  <c r="X91" i="5"/>
  <c r="Y91" i="5"/>
  <c r="Z91" i="5"/>
  <c r="AA91" i="5"/>
  <c r="AB91" i="5"/>
  <c r="AC91" i="5"/>
  <c r="AD91" i="5"/>
  <c r="AE91" i="5"/>
  <c r="F92" i="5"/>
  <c r="G92" i="5"/>
  <c r="H92" i="5"/>
  <c r="I92" i="5"/>
  <c r="J92" i="5"/>
  <c r="K92" i="5"/>
  <c r="L92" i="5"/>
  <c r="M92" i="5"/>
  <c r="N92" i="5"/>
  <c r="O92" i="5"/>
  <c r="P92" i="5"/>
  <c r="Q92" i="5"/>
  <c r="R92" i="5"/>
  <c r="S92" i="5"/>
  <c r="T92" i="5"/>
  <c r="U92" i="5"/>
  <c r="V92" i="5"/>
  <c r="W92" i="5"/>
  <c r="X92" i="5"/>
  <c r="Y92" i="5"/>
  <c r="Z92" i="5"/>
  <c r="AA92" i="5"/>
  <c r="AB92" i="5"/>
  <c r="AC92" i="5"/>
  <c r="AD92" i="5"/>
  <c r="AE92" i="5"/>
  <c r="F93" i="5"/>
  <c r="G93" i="5"/>
  <c r="H93" i="5"/>
  <c r="I93" i="5"/>
  <c r="J93" i="5"/>
  <c r="K93" i="5"/>
  <c r="L93" i="5"/>
  <c r="M93" i="5"/>
  <c r="N93" i="5"/>
  <c r="O93" i="5"/>
  <c r="P93" i="5"/>
  <c r="Q93" i="5"/>
  <c r="R93" i="5"/>
  <c r="S93" i="5"/>
  <c r="T93" i="5"/>
  <c r="U93" i="5"/>
  <c r="V93" i="5"/>
  <c r="W93" i="5"/>
  <c r="X93" i="5"/>
  <c r="Y93" i="5"/>
  <c r="Z93" i="5"/>
  <c r="AA93" i="5"/>
  <c r="AB93" i="5"/>
  <c r="AC93" i="5"/>
  <c r="AD93" i="5"/>
  <c r="AE93" i="5"/>
  <c r="F94" i="5"/>
  <c r="G94" i="5"/>
  <c r="H94" i="5"/>
  <c r="I94" i="5"/>
  <c r="J94" i="5"/>
  <c r="K94" i="5"/>
  <c r="L94" i="5"/>
  <c r="M94" i="5"/>
  <c r="N94" i="5"/>
  <c r="O94" i="5"/>
  <c r="P94" i="5"/>
  <c r="Q94" i="5"/>
  <c r="R94" i="5"/>
  <c r="S94" i="5"/>
  <c r="T94" i="5"/>
  <c r="U94" i="5"/>
  <c r="V94" i="5"/>
  <c r="W94" i="5"/>
  <c r="X94" i="5"/>
  <c r="Y94" i="5"/>
  <c r="Z94" i="5"/>
  <c r="AA94" i="5"/>
  <c r="AB94" i="5"/>
  <c r="AC94" i="5"/>
  <c r="AD94" i="5"/>
  <c r="AE94" i="5"/>
  <c r="F95" i="5"/>
  <c r="G95" i="5"/>
  <c r="H95" i="5"/>
  <c r="I95" i="5"/>
  <c r="J95" i="5"/>
  <c r="K95" i="5"/>
  <c r="L95" i="5"/>
  <c r="M95" i="5"/>
  <c r="N95" i="5"/>
  <c r="O95" i="5"/>
  <c r="P95" i="5"/>
  <c r="Q95" i="5"/>
  <c r="R95" i="5"/>
  <c r="S95" i="5"/>
  <c r="T95" i="5"/>
  <c r="U95" i="5"/>
  <c r="V95" i="5"/>
  <c r="W95" i="5"/>
  <c r="X95" i="5"/>
  <c r="Y95" i="5"/>
  <c r="Z95" i="5"/>
  <c r="AA95" i="5"/>
  <c r="AB95" i="5"/>
  <c r="AC95" i="5"/>
  <c r="AD95" i="5"/>
  <c r="AE95" i="5"/>
  <c r="F96" i="5"/>
  <c r="G96" i="5"/>
  <c r="H96" i="5"/>
  <c r="I96" i="5"/>
  <c r="J96" i="5"/>
  <c r="K96" i="5"/>
  <c r="L96" i="5"/>
  <c r="M96" i="5"/>
  <c r="N96" i="5"/>
  <c r="O96" i="5"/>
  <c r="P96" i="5"/>
  <c r="Q96" i="5"/>
  <c r="R96" i="5"/>
  <c r="S96" i="5"/>
  <c r="T96" i="5"/>
  <c r="U96" i="5"/>
  <c r="V96" i="5"/>
  <c r="W96" i="5"/>
  <c r="X96" i="5"/>
  <c r="Y96" i="5"/>
  <c r="Z96" i="5"/>
  <c r="AA96" i="5"/>
  <c r="AB96" i="5"/>
  <c r="AC96" i="5"/>
  <c r="AD96" i="5"/>
  <c r="AE96" i="5"/>
  <c r="F97" i="5"/>
  <c r="G97" i="5"/>
  <c r="H97" i="5"/>
  <c r="I97" i="5"/>
  <c r="J97" i="5"/>
  <c r="K97" i="5"/>
  <c r="L97" i="5"/>
  <c r="M97" i="5"/>
  <c r="N97" i="5"/>
  <c r="O97" i="5"/>
  <c r="P97" i="5"/>
  <c r="Q97" i="5"/>
  <c r="R97" i="5"/>
  <c r="S97" i="5"/>
  <c r="T97" i="5"/>
  <c r="U97" i="5"/>
  <c r="V97" i="5"/>
  <c r="W97" i="5"/>
  <c r="X97" i="5"/>
  <c r="Y97" i="5"/>
  <c r="Z97" i="5"/>
  <c r="AA97" i="5"/>
  <c r="AB97" i="5"/>
  <c r="AC97" i="5"/>
  <c r="AD97" i="5"/>
  <c r="AE97" i="5"/>
  <c r="F98" i="5"/>
  <c r="G98" i="5"/>
  <c r="H98" i="5"/>
  <c r="I98" i="5"/>
  <c r="J98" i="5"/>
  <c r="K98" i="5"/>
  <c r="L98" i="5"/>
  <c r="M98" i="5"/>
  <c r="N98" i="5"/>
  <c r="O98" i="5"/>
  <c r="P98" i="5"/>
  <c r="Q98" i="5"/>
  <c r="R98" i="5"/>
  <c r="S98" i="5"/>
  <c r="T98" i="5"/>
  <c r="U98" i="5"/>
  <c r="V98" i="5"/>
  <c r="W98" i="5"/>
  <c r="X98" i="5"/>
  <c r="Y98" i="5"/>
  <c r="Z98" i="5"/>
  <c r="AA98" i="5"/>
  <c r="AB98" i="5"/>
  <c r="AC98" i="5"/>
  <c r="AD98" i="5"/>
  <c r="AE98" i="5"/>
  <c r="F99" i="5"/>
  <c r="G99" i="5"/>
  <c r="H99" i="5"/>
  <c r="I99" i="5"/>
  <c r="J99" i="5"/>
  <c r="K99" i="5"/>
  <c r="L99" i="5"/>
  <c r="M99" i="5"/>
  <c r="N99" i="5"/>
  <c r="O99" i="5"/>
  <c r="P99" i="5"/>
  <c r="Q99" i="5"/>
  <c r="R99" i="5"/>
  <c r="S99" i="5"/>
  <c r="T99" i="5"/>
  <c r="U99" i="5"/>
  <c r="V99" i="5"/>
  <c r="W99" i="5"/>
  <c r="X99" i="5"/>
  <c r="Y99" i="5"/>
  <c r="Z99" i="5"/>
  <c r="AA99" i="5"/>
  <c r="AB99" i="5"/>
  <c r="AC99" i="5"/>
  <c r="AD99" i="5"/>
  <c r="AE99" i="5"/>
  <c r="F100" i="5"/>
  <c r="G100" i="5"/>
  <c r="H100" i="5"/>
  <c r="I100" i="5"/>
  <c r="J100" i="5"/>
  <c r="K100" i="5"/>
  <c r="L100" i="5"/>
  <c r="M100" i="5"/>
  <c r="N100" i="5"/>
  <c r="O100" i="5"/>
  <c r="P100" i="5"/>
  <c r="Q100" i="5"/>
  <c r="R100" i="5"/>
  <c r="S100" i="5"/>
  <c r="T100" i="5"/>
  <c r="U100" i="5"/>
  <c r="V100" i="5"/>
  <c r="W100" i="5"/>
  <c r="X100" i="5"/>
  <c r="Y100" i="5"/>
  <c r="Z100" i="5"/>
  <c r="AA100" i="5"/>
  <c r="AB100" i="5"/>
  <c r="AC100" i="5"/>
  <c r="AD100" i="5"/>
  <c r="AE100" i="5"/>
  <c r="F101" i="5"/>
  <c r="G101" i="5"/>
  <c r="H101" i="5"/>
  <c r="I101" i="5"/>
  <c r="J101" i="5"/>
  <c r="K101" i="5"/>
  <c r="L101" i="5"/>
  <c r="M101" i="5"/>
  <c r="N101" i="5"/>
  <c r="O101" i="5"/>
  <c r="P101" i="5"/>
  <c r="Q101" i="5"/>
  <c r="R101" i="5"/>
  <c r="S101" i="5"/>
  <c r="T101" i="5"/>
  <c r="U101" i="5"/>
  <c r="V101" i="5"/>
  <c r="W101" i="5"/>
  <c r="X101" i="5"/>
  <c r="Y101" i="5"/>
  <c r="Z101" i="5"/>
  <c r="AA101" i="5"/>
  <c r="AB101" i="5"/>
  <c r="AC101" i="5"/>
  <c r="AD101" i="5"/>
  <c r="AE101" i="5"/>
  <c r="B53" i="7" s="1"/>
  <c r="F102" i="5"/>
  <c r="G102" i="5"/>
  <c r="H102" i="5"/>
  <c r="I102" i="5"/>
  <c r="J102" i="5"/>
  <c r="K102" i="5"/>
  <c r="L102" i="5"/>
  <c r="M102" i="5"/>
  <c r="N102" i="5"/>
  <c r="O102" i="5"/>
  <c r="P102" i="5"/>
  <c r="Q102" i="5"/>
  <c r="R102" i="5"/>
  <c r="S102" i="5"/>
  <c r="T102" i="5"/>
  <c r="U102" i="5"/>
  <c r="V102" i="5"/>
  <c r="W102" i="5"/>
  <c r="X102" i="5"/>
  <c r="Y102" i="5"/>
  <c r="Z102" i="5"/>
  <c r="AA102" i="5"/>
  <c r="AB102" i="5"/>
  <c r="AC102" i="5"/>
  <c r="AD102" i="5"/>
  <c r="AE102" i="5"/>
  <c r="B54" i="7" s="1"/>
  <c r="F103" i="5"/>
  <c r="G103" i="5"/>
  <c r="H103" i="5"/>
  <c r="I103" i="5"/>
  <c r="J103" i="5"/>
  <c r="K103" i="5"/>
  <c r="L103" i="5"/>
  <c r="M103" i="5"/>
  <c r="N103" i="5"/>
  <c r="O103" i="5"/>
  <c r="P103" i="5"/>
  <c r="Q103" i="5"/>
  <c r="R103" i="5"/>
  <c r="S103" i="5"/>
  <c r="T103" i="5"/>
  <c r="U103" i="5"/>
  <c r="V103" i="5"/>
  <c r="W103" i="5"/>
  <c r="X103" i="5"/>
  <c r="Y103" i="5"/>
  <c r="Z103" i="5"/>
  <c r="AA103" i="5"/>
  <c r="AB103" i="5"/>
  <c r="AC103" i="5"/>
  <c r="AD103" i="5"/>
  <c r="AE103" i="5"/>
  <c r="F104" i="5"/>
  <c r="G104" i="5"/>
  <c r="H104" i="5"/>
  <c r="I104" i="5"/>
  <c r="J104" i="5"/>
  <c r="K104" i="5"/>
  <c r="L104" i="5"/>
  <c r="M104" i="5"/>
  <c r="N104" i="5"/>
  <c r="O104" i="5"/>
  <c r="P104" i="5"/>
  <c r="Q104" i="5"/>
  <c r="R104" i="5"/>
  <c r="S104" i="5"/>
  <c r="T104" i="5"/>
  <c r="U104" i="5"/>
  <c r="V104" i="5"/>
  <c r="W104" i="5"/>
  <c r="X104" i="5"/>
  <c r="Y104" i="5"/>
  <c r="Z104" i="5"/>
  <c r="AA104" i="5"/>
  <c r="AB104" i="5"/>
  <c r="AC104" i="5"/>
  <c r="AD104" i="5"/>
  <c r="AE104" i="5"/>
  <c r="F105" i="5"/>
  <c r="G105" i="5"/>
  <c r="H105" i="5"/>
  <c r="I105" i="5"/>
  <c r="J105" i="5"/>
  <c r="K105" i="5"/>
  <c r="L105" i="5"/>
  <c r="M105" i="5"/>
  <c r="N105" i="5"/>
  <c r="O105" i="5"/>
  <c r="P105" i="5"/>
  <c r="Q105" i="5"/>
  <c r="R105" i="5"/>
  <c r="S105" i="5"/>
  <c r="T105" i="5"/>
  <c r="U105" i="5"/>
  <c r="V105" i="5"/>
  <c r="W105" i="5"/>
  <c r="X105" i="5"/>
  <c r="Y105" i="5"/>
  <c r="Z105" i="5"/>
  <c r="AA105" i="5"/>
  <c r="AB105" i="5"/>
  <c r="AC105" i="5"/>
  <c r="AD105" i="5"/>
  <c r="AE105" i="5"/>
  <c r="F106" i="5"/>
  <c r="G106" i="5"/>
  <c r="H106" i="5"/>
  <c r="I106" i="5"/>
  <c r="J106" i="5"/>
  <c r="K106" i="5"/>
  <c r="L106" i="5"/>
  <c r="M106" i="5"/>
  <c r="N106" i="5"/>
  <c r="O106" i="5"/>
  <c r="P106" i="5"/>
  <c r="Q106" i="5"/>
  <c r="R106" i="5"/>
  <c r="S106" i="5"/>
  <c r="T106" i="5"/>
  <c r="U106" i="5"/>
  <c r="V106" i="5"/>
  <c r="W106" i="5"/>
  <c r="X106" i="5"/>
  <c r="Y106" i="5"/>
  <c r="Z106" i="5"/>
  <c r="AA106" i="5"/>
  <c r="AB106" i="5"/>
  <c r="AC106" i="5"/>
  <c r="AD106" i="5"/>
  <c r="AE106" i="5"/>
  <c r="F107" i="5"/>
  <c r="G107" i="5"/>
  <c r="H107" i="5"/>
  <c r="I107" i="5"/>
  <c r="J107" i="5"/>
  <c r="K107" i="5"/>
  <c r="L107" i="5"/>
  <c r="M107" i="5"/>
  <c r="N107" i="5"/>
  <c r="O107" i="5"/>
  <c r="P107" i="5"/>
  <c r="Q107" i="5"/>
  <c r="R107" i="5"/>
  <c r="S107" i="5"/>
  <c r="T107" i="5"/>
  <c r="U107" i="5"/>
  <c r="V107" i="5"/>
  <c r="W107" i="5"/>
  <c r="X107" i="5"/>
  <c r="Y107" i="5"/>
  <c r="Z107" i="5"/>
  <c r="AA107" i="5"/>
  <c r="AB107" i="5"/>
  <c r="AC107" i="5"/>
  <c r="AD107" i="5"/>
  <c r="AE107" i="5"/>
  <c r="F108" i="5"/>
  <c r="G108" i="5"/>
  <c r="H108" i="5"/>
  <c r="I108" i="5"/>
  <c r="J108" i="5"/>
  <c r="K108" i="5"/>
  <c r="L108" i="5"/>
  <c r="M108" i="5"/>
  <c r="N108" i="5"/>
  <c r="O108" i="5"/>
  <c r="P108" i="5"/>
  <c r="Q108" i="5"/>
  <c r="R108" i="5"/>
  <c r="S108" i="5"/>
  <c r="T108" i="5"/>
  <c r="U108" i="5"/>
  <c r="V108" i="5"/>
  <c r="W108" i="5"/>
  <c r="X108" i="5"/>
  <c r="Y108" i="5"/>
  <c r="Z108" i="5"/>
  <c r="AA108" i="5"/>
  <c r="AB108" i="5"/>
  <c r="AC108" i="5"/>
  <c r="AD108" i="5"/>
  <c r="AE108" i="5"/>
  <c r="F109" i="5"/>
  <c r="G109" i="5"/>
  <c r="H109" i="5"/>
  <c r="I109" i="5"/>
  <c r="J109" i="5"/>
  <c r="K109" i="5"/>
  <c r="L109" i="5"/>
  <c r="M109" i="5"/>
  <c r="N109" i="5"/>
  <c r="O109" i="5"/>
  <c r="P109" i="5"/>
  <c r="Q109" i="5"/>
  <c r="R109" i="5"/>
  <c r="S109" i="5"/>
  <c r="T109" i="5"/>
  <c r="U109" i="5"/>
  <c r="V109" i="5"/>
  <c r="W109" i="5"/>
  <c r="X109" i="5"/>
  <c r="Y109" i="5"/>
  <c r="Z109" i="5"/>
  <c r="AA109" i="5"/>
  <c r="AB109" i="5"/>
  <c r="AC109" i="5"/>
  <c r="AD109" i="5"/>
  <c r="AE109" i="5"/>
  <c r="F110" i="5"/>
  <c r="G110" i="5"/>
  <c r="H110" i="5"/>
  <c r="I110" i="5"/>
  <c r="J110" i="5"/>
  <c r="K110" i="5"/>
  <c r="L110" i="5"/>
  <c r="M110" i="5"/>
  <c r="N110" i="5"/>
  <c r="O110" i="5"/>
  <c r="P110" i="5"/>
  <c r="Q110" i="5"/>
  <c r="R110" i="5"/>
  <c r="S110" i="5"/>
  <c r="T110" i="5"/>
  <c r="U110" i="5"/>
  <c r="V110" i="5"/>
  <c r="W110" i="5"/>
  <c r="X110" i="5"/>
  <c r="Y110" i="5"/>
  <c r="Z110" i="5"/>
  <c r="AA110" i="5"/>
  <c r="AB110" i="5"/>
  <c r="AC110" i="5"/>
  <c r="AD110" i="5"/>
  <c r="AE110" i="5"/>
  <c r="F111" i="5"/>
  <c r="G111" i="5"/>
  <c r="H111" i="5"/>
  <c r="I111" i="5"/>
  <c r="J111" i="5"/>
  <c r="K111" i="5"/>
  <c r="L111" i="5"/>
  <c r="M111" i="5"/>
  <c r="N111" i="5"/>
  <c r="O111" i="5"/>
  <c r="P111" i="5"/>
  <c r="Q111" i="5"/>
  <c r="R111" i="5"/>
  <c r="S111" i="5"/>
  <c r="T111" i="5"/>
  <c r="U111" i="5"/>
  <c r="V111" i="5"/>
  <c r="W111" i="5"/>
  <c r="X111" i="5"/>
  <c r="Y111" i="5"/>
  <c r="Z111" i="5"/>
  <c r="AA111" i="5"/>
  <c r="AB111" i="5"/>
  <c r="AC111" i="5"/>
  <c r="AD111" i="5"/>
  <c r="AE111" i="5"/>
  <c r="F112" i="5"/>
  <c r="G112" i="5"/>
  <c r="H112" i="5"/>
  <c r="I112" i="5"/>
  <c r="J112" i="5"/>
  <c r="K112" i="5"/>
  <c r="L112" i="5"/>
  <c r="M112" i="5"/>
  <c r="N112" i="5"/>
  <c r="O112" i="5"/>
  <c r="P112" i="5"/>
  <c r="Q112" i="5"/>
  <c r="R112" i="5"/>
  <c r="S112" i="5"/>
  <c r="T112" i="5"/>
  <c r="U112" i="5"/>
  <c r="V112" i="5"/>
  <c r="W112" i="5"/>
  <c r="X112" i="5"/>
  <c r="Y112" i="5"/>
  <c r="Z112" i="5"/>
  <c r="AA112" i="5"/>
  <c r="AB112" i="5"/>
  <c r="AC112" i="5"/>
  <c r="AD112" i="5"/>
  <c r="AE112" i="5"/>
  <c r="F113" i="5"/>
  <c r="G113" i="5"/>
  <c r="H113" i="5"/>
  <c r="I113" i="5"/>
  <c r="J113" i="5"/>
  <c r="K113" i="5"/>
  <c r="L113" i="5"/>
  <c r="M113" i="5"/>
  <c r="N113" i="5"/>
  <c r="O113" i="5"/>
  <c r="P113" i="5"/>
  <c r="Q113" i="5"/>
  <c r="R113" i="5"/>
  <c r="S113" i="5"/>
  <c r="T113" i="5"/>
  <c r="U113" i="5"/>
  <c r="V113" i="5"/>
  <c r="W113" i="5"/>
  <c r="X113" i="5"/>
  <c r="Y113" i="5"/>
  <c r="Z113" i="5"/>
  <c r="AA113" i="5"/>
  <c r="AB113" i="5"/>
  <c r="AC113" i="5"/>
  <c r="AD113" i="5"/>
  <c r="AE113" i="5"/>
  <c r="F114" i="5"/>
  <c r="G114" i="5"/>
  <c r="H114" i="5"/>
  <c r="I114" i="5"/>
  <c r="J114" i="5"/>
  <c r="K114" i="5"/>
  <c r="L114" i="5"/>
  <c r="M114" i="5"/>
  <c r="N114" i="5"/>
  <c r="O114" i="5"/>
  <c r="P114" i="5"/>
  <c r="Q114" i="5"/>
  <c r="R114" i="5"/>
  <c r="S114" i="5"/>
  <c r="T114" i="5"/>
  <c r="U114" i="5"/>
  <c r="V114" i="5"/>
  <c r="W114" i="5"/>
  <c r="X114" i="5"/>
  <c r="Y114" i="5"/>
  <c r="Z114" i="5"/>
  <c r="AA114" i="5"/>
  <c r="AB114" i="5"/>
  <c r="AC114" i="5"/>
  <c r="AD114" i="5"/>
  <c r="AE114" i="5"/>
  <c r="F115" i="5"/>
  <c r="G115" i="5"/>
  <c r="H115" i="5"/>
  <c r="I115" i="5"/>
  <c r="J115" i="5"/>
  <c r="K115" i="5"/>
  <c r="L115" i="5"/>
  <c r="M115" i="5"/>
  <c r="N115" i="5"/>
  <c r="O115" i="5"/>
  <c r="P115" i="5"/>
  <c r="Q115" i="5"/>
  <c r="R115" i="5"/>
  <c r="S115" i="5"/>
  <c r="T115" i="5"/>
  <c r="U115" i="5"/>
  <c r="V115" i="5"/>
  <c r="W115" i="5"/>
  <c r="X115" i="5"/>
  <c r="Y115" i="5"/>
  <c r="Z115" i="5"/>
  <c r="AA115" i="5"/>
  <c r="AB115" i="5"/>
  <c r="AC115" i="5"/>
  <c r="AD115" i="5"/>
  <c r="AE115" i="5"/>
  <c r="F116" i="5"/>
  <c r="G116" i="5"/>
  <c r="H116" i="5"/>
  <c r="I116" i="5"/>
  <c r="J116" i="5"/>
  <c r="K116" i="5"/>
  <c r="L116" i="5"/>
  <c r="M116" i="5"/>
  <c r="N116" i="5"/>
  <c r="O116" i="5"/>
  <c r="P116" i="5"/>
  <c r="Q116" i="5"/>
  <c r="R116" i="5"/>
  <c r="S116" i="5"/>
  <c r="T116" i="5"/>
  <c r="U116" i="5"/>
  <c r="V116" i="5"/>
  <c r="W116" i="5"/>
  <c r="X116" i="5"/>
  <c r="Y116" i="5"/>
  <c r="Z116" i="5"/>
  <c r="AA116" i="5"/>
  <c r="AB116" i="5"/>
  <c r="AC116" i="5"/>
  <c r="AD116" i="5"/>
  <c r="AE116" i="5"/>
  <c r="F117" i="5"/>
  <c r="G117" i="5"/>
  <c r="H117" i="5"/>
  <c r="I117" i="5"/>
  <c r="J117" i="5"/>
  <c r="K117" i="5"/>
  <c r="L117" i="5"/>
  <c r="M117" i="5"/>
  <c r="N117" i="5"/>
  <c r="O117" i="5"/>
  <c r="P117" i="5"/>
  <c r="Q117" i="5"/>
  <c r="R117" i="5"/>
  <c r="S117" i="5"/>
  <c r="T117" i="5"/>
  <c r="U117" i="5"/>
  <c r="V117" i="5"/>
  <c r="W117" i="5"/>
  <c r="X117" i="5"/>
  <c r="Y117" i="5"/>
  <c r="Z117" i="5"/>
  <c r="AA117" i="5"/>
  <c r="AB117" i="5"/>
  <c r="AC117" i="5"/>
  <c r="AD117" i="5"/>
  <c r="AE117" i="5"/>
  <c r="F118" i="5"/>
  <c r="G118" i="5"/>
  <c r="H118" i="5"/>
  <c r="I118" i="5"/>
  <c r="J118" i="5"/>
  <c r="K118" i="5"/>
  <c r="L118" i="5"/>
  <c r="M118" i="5"/>
  <c r="N118" i="5"/>
  <c r="O118" i="5"/>
  <c r="P118" i="5"/>
  <c r="Q118" i="5"/>
  <c r="R118" i="5"/>
  <c r="S118" i="5"/>
  <c r="T118" i="5"/>
  <c r="U118" i="5"/>
  <c r="V118" i="5"/>
  <c r="W118" i="5"/>
  <c r="X118" i="5"/>
  <c r="Y118" i="5"/>
  <c r="Z118" i="5"/>
  <c r="AA118" i="5"/>
  <c r="AB118" i="5"/>
  <c r="AC118" i="5"/>
  <c r="AD118" i="5"/>
  <c r="AE118" i="5"/>
  <c r="F119" i="5"/>
  <c r="G119" i="5"/>
  <c r="H119" i="5"/>
  <c r="I119" i="5"/>
  <c r="J119" i="5"/>
  <c r="K119" i="5"/>
  <c r="L119" i="5"/>
  <c r="M119" i="5"/>
  <c r="N119" i="5"/>
  <c r="O119" i="5"/>
  <c r="P119" i="5"/>
  <c r="Q119" i="5"/>
  <c r="R119" i="5"/>
  <c r="S119" i="5"/>
  <c r="T119" i="5"/>
  <c r="U119" i="5"/>
  <c r="V119" i="5"/>
  <c r="W119" i="5"/>
  <c r="X119" i="5"/>
  <c r="Y119" i="5"/>
  <c r="Z119" i="5"/>
  <c r="AA119" i="5"/>
  <c r="AB119" i="5"/>
  <c r="AC119" i="5"/>
  <c r="AD119" i="5"/>
  <c r="AE119" i="5"/>
  <c r="F120" i="5"/>
  <c r="G120" i="5"/>
  <c r="H120" i="5"/>
  <c r="I120" i="5"/>
  <c r="J120" i="5"/>
  <c r="K120" i="5"/>
  <c r="L120" i="5"/>
  <c r="M120" i="5"/>
  <c r="N120" i="5"/>
  <c r="O120" i="5"/>
  <c r="P120" i="5"/>
  <c r="Q120" i="5"/>
  <c r="R120" i="5"/>
  <c r="S120" i="5"/>
  <c r="T120" i="5"/>
  <c r="U120" i="5"/>
  <c r="V120" i="5"/>
  <c r="W120" i="5"/>
  <c r="X120" i="5"/>
  <c r="Y120" i="5"/>
  <c r="Z120" i="5"/>
  <c r="AA120" i="5"/>
  <c r="AB120" i="5"/>
  <c r="AC120" i="5"/>
  <c r="AD120" i="5"/>
  <c r="AE120" i="5"/>
  <c r="F121" i="5"/>
  <c r="G121" i="5"/>
  <c r="H121" i="5"/>
  <c r="I121" i="5"/>
  <c r="J121" i="5"/>
  <c r="K121" i="5"/>
  <c r="L121" i="5"/>
  <c r="M121" i="5"/>
  <c r="N121" i="5"/>
  <c r="O121" i="5"/>
  <c r="P121" i="5"/>
  <c r="Q121" i="5"/>
  <c r="R121" i="5"/>
  <c r="S121" i="5"/>
  <c r="T121" i="5"/>
  <c r="U121" i="5"/>
  <c r="V121" i="5"/>
  <c r="W121" i="5"/>
  <c r="X121" i="5"/>
  <c r="Y121" i="5"/>
  <c r="Z121" i="5"/>
  <c r="AA121" i="5"/>
  <c r="AB121" i="5"/>
  <c r="AC121" i="5"/>
  <c r="AD121" i="5"/>
  <c r="AE121" i="5"/>
  <c r="F122" i="5"/>
  <c r="G122" i="5"/>
  <c r="H122" i="5"/>
  <c r="I122" i="5"/>
  <c r="J122" i="5"/>
  <c r="K122" i="5"/>
  <c r="L122" i="5"/>
  <c r="M122" i="5"/>
  <c r="N122" i="5"/>
  <c r="O122" i="5"/>
  <c r="P122" i="5"/>
  <c r="Q122" i="5"/>
  <c r="R122" i="5"/>
  <c r="S122" i="5"/>
  <c r="T122" i="5"/>
  <c r="U122" i="5"/>
  <c r="V122" i="5"/>
  <c r="W122" i="5"/>
  <c r="X122" i="5"/>
  <c r="Y122" i="5"/>
  <c r="Z122" i="5"/>
  <c r="AA122" i="5"/>
  <c r="AB122" i="5"/>
  <c r="AC122" i="5"/>
  <c r="AD122" i="5"/>
  <c r="AE122" i="5"/>
  <c r="F123" i="5"/>
  <c r="G123" i="5"/>
  <c r="H123" i="5"/>
  <c r="I123" i="5"/>
  <c r="J123" i="5"/>
  <c r="K123" i="5"/>
  <c r="L123" i="5"/>
  <c r="M123" i="5"/>
  <c r="N123" i="5"/>
  <c r="O123" i="5"/>
  <c r="P123" i="5"/>
  <c r="Q123" i="5"/>
  <c r="R123" i="5"/>
  <c r="S123" i="5"/>
  <c r="T123" i="5"/>
  <c r="U123" i="5"/>
  <c r="V123" i="5"/>
  <c r="W123" i="5"/>
  <c r="X123" i="5"/>
  <c r="Y123" i="5"/>
  <c r="Z123" i="5"/>
  <c r="AA123" i="5"/>
  <c r="AB123" i="5"/>
  <c r="AC123" i="5"/>
  <c r="AD123" i="5"/>
  <c r="AE123" i="5"/>
  <c r="F124" i="5"/>
  <c r="G124" i="5"/>
  <c r="H124" i="5"/>
  <c r="I124" i="5"/>
  <c r="J124" i="5"/>
  <c r="K124" i="5"/>
  <c r="L124" i="5"/>
  <c r="M124" i="5"/>
  <c r="N124" i="5"/>
  <c r="O124" i="5"/>
  <c r="P124" i="5"/>
  <c r="Q124" i="5"/>
  <c r="R124" i="5"/>
  <c r="S124" i="5"/>
  <c r="T124" i="5"/>
  <c r="U124" i="5"/>
  <c r="V124" i="5"/>
  <c r="W124" i="5"/>
  <c r="X124" i="5"/>
  <c r="Y124" i="5"/>
  <c r="Z124" i="5"/>
  <c r="AA124" i="5"/>
  <c r="AB124" i="5"/>
  <c r="AC124" i="5"/>
  <c r="AD124" i="5"/>
  <c r="AE124" i="5"/>
  <c r="F125" i="5"/>
  <c r="G125" i="5"/>
  <c r="H125" i="5"/>
  <c r="I125" i="5"/>
  <c r="J125" i="5"/>
  <c r="K125" i="5"/>
  <c r="L125" i="5"/>
  <c r="M125" i="5"/>
  <c r="N125" i="5"/>
  <c r="O125" i="5"/>
  <c r="P125" i="5"/>
  <c r="Q125" i="5"/>
  <c r="R125" i="5"/>
  <c r="S125" i="5"/>
  <c r="T125" i="5"/>
  <c r="U125" i="5"/>
  <c r="V125" i="5"/>
  <c r="W125" i="5"/>
  <c r="X125" i="5"/>
  <c r="Y125" i="5"/>
  <c r="Z125" i="5"/>
  <c r="AA125" i="5"/>
  <c r="AB125" i="5"/>
  <c r="AC125" i="5"/>
  <c r="AD125" i="5"/>
  <c r="AE125" i="5"/>
  <c r="F126" i="5"/>
  <c r="G126" i="5"/>
  <c r="H126" i="5"/>
  <c r="I126" i="5"/>
  <c r="J126" i="5"/>
  <c r="K126" i="5"/>
  <c r="L126" i="5"/>
  <c r="M126" i="5"/>
  <c r="N126" i="5"/>
  <c r="O126" i="5"/>
  <c r="P126" i="5"/>
  <c r="Q126" i="5"/>
  <c r="R126" i="5"/>
  <c r="S126" i="5"/>
  <c r="T126" i="5"/>
  <c r="U126" i="5"/>
  <c r="V126" i="5"/>
  <c r="W126" i="5"/>
  <c r="X126" i="5"/>
  <c r="Y126" i="5"/>
  <c r="Z126" i="5"/>
  <c r="AA126" i="5"/>
  <c r="AB126" i="5"/>
  <c r="AC126" i="5"/>
  <c r="AD126" i="5"/>
  <c r="AE126"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1" i="5"/>
  <c r="E92" i="5"/>
  <c r="E93" i="5"/>
  <c r="E94" i="5"/>
  <c r="E95" i="5"/>
  <c r="E96" i="5"/>
  <c r="E97" i="5"/>
  <c r="E98" i="5"/>
  <c r="E99" i="5"/>
  <c r="E100" i="5"/>
  <c r="E101" i="5"/>
  <c r="E103" i="5"/>
  <c r="E104" i="5"/>
  <c r="E105" i="5"/>
  <c r="E106" i="5"/>
  <c r="E107" i="5"/>
  <c r="E108" i="5"/>
  <c r="E109" i="5"/>
  <c r="E110" i="5"/>
  <c r="E111" i="5"/>
  <c r="E112" i="5"/>
  <c r="E113" i="5"/>
  <c r="E114" i="5"/>
  <c r="E115" i="5"/>
  <c r="E116" i="5"/>
  <c r="E117" i="5"/>
  <c r="E118" i="5"/>
  <c r="E119" i="5"/>
  <c r="E120" i="5"/>
  <c r="E121" i="5"/>
  <c r="E122" i="5"/>
  <c r="E123" i="5"/>
  <c r="E124" i="5"/>
  <c r="E125" i="5"/>
  <c r="E126" i="5"/>
  <c r="E14" i="5"/>
  <c r="A3" i="5"/>
  <c r="B3" i="5"/>
  <c r="C3" i="5"/>
  <c r="D3" i="5"/>
  <c r="A4" i="5"/>
  <c r="B4" i="5"/>
  <c r="C4" i="5"/>
  <c r="D4" i="5"/>
  <c r="A5" i="5"/>
  <c r="B5" i="5"/>
  <c r="C5" i="5"/>
  <c r="D5"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D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D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D94" i="5"/>
  <c r="A95" i="5"/>
  <c r="B95" i="5"/>
  <c r="C95" i="5"/>
  <c r="D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D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B2" i="5"/>
  <c r="C2" i="5"/>
  <c r="D2" i="5"/>
  <c r="A2" i="5"/>
  <c r="G3" i="4"/>
  <c r="H3" i="4"/>
  <c r="I3" i="4"/>
  <c r="J3" i="4"/>
  <c r="K3" i="4"/>
  <c r="L3" i="4"/>
  <c r="M3" i="4"/>
  <c r="N3" i="4"/>
  <c r="O3" i="4"/>
  <c r="P3" i="4"/>
  <c r="Q3" i="4"/>
  <c r="R3" i="4"/>
  <c r="S3" i="4"/>
  <c r="T3" i="4"/>
  <c r="U3" i="4"/>
  <c r="V3" i="4"/>
  <c r="W3" i="4"/>
  <c r="X3" i="4"/>
  <c r="Y3" i="4"/>
  <c r="Z3" i="4"/>
  <c r="AA3" i="4"/>
  <c r="AB3" i="4"/>
  <c r="AC3" i="4"/>
  <c r="AD3" i="4"/>
  <c r="AE3" i="4"/>
  <c r="G4" i="4"/>
  <c r="H4" i="4"/>
  <c r="I4" i="4"/>
  <c r="J4" i="4"/>
  <c r="K4" i="4"/>
  <c r="L4" i="4"/>
  <c r="M4" i="4"/>
  <c r="N4" i="4"/>
  <c r="O4" i="4"/>
  <c r="P4" i="4"/>
  <c r="Q4" i="4"/>
  <c r="R4" i="4"/>
  <c r="S4" i="4"/>
  <c r="T4" i="4"/>
  <c r="U4" i="4"/>
  <c r="V4" i="4"/>
  <c r="W4" i="4"/>
  <c r="X4" i="4"/>
  <c r="Y4" i="4"/>
  <c r="Z4" i="4"/>
  <c r="AA4" i="4"/>
  <c r="AB4" i="4"/>
  <c r="AC4" i="4"/>
  <c r="AD4" i="4"/>
  <c r="AE4" i="4"/>
  <c r="G5" i="4"/>
  <c r="H5" i="4"/>
  <c r="I5" i="4"/>
  <c r="J5" i="4"/>
  <c r="K5" i="4"/>
  <c r="L5" i="4"/>
  <c r="M5" i="4"/>
  <c r="N5" i="4"/>
  <c r="O5" i="4"/>
  <c r="P5" i="4"/>
  <c r="Q5" i="4"/>
  <c r="R5" i="4"/>
  <c r="S5" i="4"/>
  <c r="T5" i="4"/>
  <c r="U5" i="4"/>
  <c r="V5" i="4"/>
  <c r="W5" i="4"/>
  <c r="X5" i="4"/>
  <c r="Y5" i="4"/>
  <c r="Z5" i="4"/>
  <c r="AA5" i="4"/>
  <c r="AB5" i="4"/>
  <c r="AC5" i="4"/>
  <c r="AD5" i="4"/>
  <c r="AE5" i="4"/>
  <c r="G6" i="4"/>
  <c r="H6" i="4"/>
  <c r="I6" i="4"/>
  <c r="J6" i="4"/>
  <c r="K6" i="4"/>
  <c r="L6" i="4"/>
  <c r="M6" i="4"/>
  <c r="N6" i="4"/>
  <c r="O6" i="4"/>
  <c r="P6" i="4"/>
  <c r="Q6" i="4"/>
  <c r="R6" i="4"/>
  <c r="S6" i="4"/>
  <c r="T6" i="4"/>
  <c r="U6" i="4"/>
  <c r="V6" i="4"/>
  <c r="W6" i="4"/>
  <c r="X6" i="4"/>
  <c r="Y6" i="4"/>
  <c r="Z6" i="4"/>
  <c r="AA6" i="4"/>
  <c r="AB6" i="4"/>
  <c r="AC6" i="4"/>
  <c r="AD6" i="4"/>
  <c r="AE6" i="4"/>
  <c r="G7" i="4"/>
  <c r="H7" i="4"/>
  <c r="I7" i="4"/>
  <c r="J7" i="4"/>
  <c r="K7" i="4"/>
  <c r="L7" i="4"/>
  <c r="M7" i="4"/>
  <c r="N7" i="4"/>
  <c r="O7" i="4"/>
  <c r="P7" i="4"/>
  <c r="Q7" i="4"/>
  <c r="R7" i="4"/>
  <c r="S7" i="4"/>
  <c r="T7" i="4"/>
  <c r="U7" i="4"/>
  <c r="V7" i="4"/>
  <c r="W7" i="4"/>
  <c r="X7" i="4"/>
  <c r="Y7" i="4"/>
  <c r="Z7" i="4"/>
  <c r="AA7" i="4"/>
  <c r="AB7" i="4"/>
  <c r="AC7" i="4"/>
  <c r="AD7" i="4"/>
  <c r="AE7" i="4"/>
  <c r="G8" i="4"/>
  <c r="H8" i="4"/>
  <c r="I8" i="4"/>
  <c r="J8" i="4"/>
  <c r="K8" i="4"/>
  <c r="L8" i="4"/>
  <c r="M8" i="4"/>
  <c r="N8" i="4"/>
  <c r="O8" i="4"/>
  <c r="P8" i="4"/>
  <c r="Q8" i="4"/>
  <c r="R8" i="4"/>
  <c r="S8" i="4"/>
  <c r="T8" i="4"/>
  <c r="U8" i="4"/>
  <c r="V8" i="4"/>
  <c r="W8" i="4"/>
  <c r="X8" i="4"/>
  <c r="Y8" i="4"/>
  <c r="Z8" i="4"/>
  <c r="AA8" i="4"/>
  <c r="AB8" i="4"/>
  <c r="AC8" i="4"/>
  <c r="AD8" i="4"/>
  <c r="AE8" i="4"/>
  <c r="G9" i="4"/>
  <c r="H9" i="4"/>
  <c r="I9" i="4"/>
  <c r="J9" i="4"/>
  <c r="K9" i="4"/>
  <c r="L9" i="4"/>
  <c r="M9" i="4"/>
  <c r="N9" i="4"/>
  <c r="O9" i="4"/>
  <c r="P9" i="4"/>
  <c r="Q9" i="4"/>
  <c r="R9" i="4"/>
  <c r="S9" i="4"/>
  <c r="T9" i="4"/>
  <c r="U9" i="4"/>
  <c r="V9" i="4"/>
  <c r="W9" i="4"/>
  <c r="X9" i="4"/>
  <c r="Y9" i="4"/>
  <c r="Z9" i="4"/>
  <c r="AA9" i="4"/>
  <c r="AB9" i="4"/>
  <c r="AC9" i="4"/>
  <c r="AD9" i="4"/>
  <c r="AE9" i="4"/>
  <c r="G10" i="4"/>
  <c r="H10" i="4"/>
  <c r="I10" i="4"/>
  <c r="J10" i="4"/>
  <c r="K10" i="4"/>
  <c r="L10" i="4"/>
  <c r="M10" i="4"/>
  <c r="N10" i="4"/>
  <c r="O10" i="4"/>
  <c r="P10" i="4"/>
  <c r="Q10" i="4"/>
  <c r="R10" i="4"/>
  <c r="S10" i="4"/>
  <c r="T10" i="4"/>
  <c r="U10" i="4"/>
  <c r="V10" i="4"/>
  <c r="W10" i="4"/>
  <c r="X10" i="4"/>
  <c r="Y10" i="4"/>
  <c r="Z10" i="4"/>
  <c r="AA10" i="4"/>
  <c r="AB10" i="4"/>
  <c r="AC10" i="4"/>
  <c r="AD10" i="4"/>
  <c r="AE10" i="4"/>
  <c r="G11" i="4"/>
  <c r="H11" i="4"/>
  <c r="I11" i="4"/>
  <c r="J11" i="4"/>
  <c r="K11" i="4"/>
  <c r="L11" i="4"/>
  <c r="M11" i="4"/>
  <c r="N11" i="4"/>
  <c r="O11" i="4"/>
  <c r="P11" i="4"/>
  <c r="Q11" i="4"/>
  <c r="R11" i="4"/>
  <c r="S11" i="4"/>
  <c r="T11" i="4"/>
  <c r="U11" i="4"/>
  <c r="V11" i="4"/>
  <c r="W11" i="4"/>
  <c r="X11" i="4"/>
  <c r="Y11" i="4"/>
  <c r="Z11" i="4"/>
  <c r="AA11" i="4"/>
  <c r="AB11" i="4"/>
  <c r="AC11" i="4"/>
  <c r="AD11" i="4"/>
  <c r="AE11" i="4"/>
  <c r="G12" i="4"/>
  <c r="H12" i="4"/>
  <c r="I12" i="4"/>
  <c r="J12" i="4"/>
  <c r="K12" i="4"/>
  <c r="L12" i="4"/>
  <c r="M12" i="4"/>
  <c r="N12" i="4"/>
  <c r="O12" i="4"/>
  <c r="P12" i="4"/>
  <c r="Q12" i="4"/>
  <c r="R12" i="4"/>
  <c r="S12" i="4"/>
  <c r="T12" i="4"/>
  <c r="U12" i="4"/>
  <c r="V12" i="4"/>
  <c r="W12" i="4"/>
  <c r="X12" i="4"/>
  <c r="Y12" i="4"/>
  <c r="Z12" i="4"/>
  <c r="AA12" i="4"/>
  <c r="AB12" i="4"/>
  <c r="AC12" i="4"/>
  <c r="AD12" i="4"/>
  <c r="AE12" i="4"/>
  <c r="G13" i="4"/>
  <c r="H13" i="4"/>
  <c r="I13" i="4"/>
  <c r="J13" i="4"/>
  <c r="K13" i="4"/>
  <c r="L13" i="4"/>
  <c r="M13" i="4"/>
  <c r="N13" i="4"/>
  <c r="O13" i="4"/>
  <c r="P13" i="4"/>
  <c r="Q13" i="4"/>
  <c r="R13" i="4"/>
  <c r="S13" i="4"/>
  <c r="T13" i="4"/>
  <c r="U13" i="4"/>
  <c r="V13" i="4"/>
  <c r="W13" i="4"/>
  <c r="X13" i="4"/>
  <c r="Y13" i="4"/>
  <c r="Z13" i="4"/>
  <c r="AA13" i="4"/>
  <c r="AB13" i="4"/>
  <c r="AC13" i="4"/>
  <c r="AD13" i="4"/>
  <c r="AE13" i="4"/>
  <c r="G14" i="4"/>
  <c r="H14" i="4"/>
  <c r="I14" i="4"/>
  <c r="J14" i="4"/>
  <c r="K14" i="4"/>
  <c r="L14" i="4"/>
  <c r="M14" i="4"/>
  <c r="N14" i="4"/>
  <c r="O14" i="4"/>
  <c r="P14" i="4"/>
  <c r="Q14" i="4"/>
  <c r="R14" i="4"/>
  <c r="S14" i="4"/>
  <c r="T14" i="4"/>
  <c r="U14" i="4"/>
  <c r="V14" i="4"/>
  <c r="W14" i="4"/>
  <c r="X14" i="4"/>
  <c r="Y14" i="4"/>
  <c r="Z14" i="4"/>
  <c r="AA14" i="4"/>
  <c r="AB14" i="4"/>
  <c r="AC14" i="4"/>
  <c r="AD14" i="4"/>
  <c r="AE14" i="4"/>
  <c r="G15" i="4"/>
  <c r="H15" i="4"/>
  <c r="I15" i="4"/>
  <c r="J15" i="4"/>
  <c r="K15" i="4"/>
  <c r="L15" i="4"/>
  <c r="M15" i="4"/>
  <c r="N15" i="4"/>
  <c r="O15" i="4"/>
  <c r="P15" i="4"/>
  <c r="Q15" i="4"/>
  <c r="R15" i="4"/>
  <c r="S15" i="4"/>
  <c r="T15" i="4"/>
  <c r="U15" i="4"/>
  <c r="V15" i="4"/>
  <c r="W15" i="4"/>
  <c r="X15" i="4"/>
  <c r="Y15" i="4"/>
  <c r="Z15" i="4"/>
  <c r="AA15" i="4"/>
  <c r="AB15" i="4"/>
  <c r="AC15" i="4"/>
  <c r="AD15" i="4"/>
  <c r="AE15" i="4"/>
  <c r="G16" i="4"/>
  <c r="H16" i="4"/>
  <c r="I16" i="4"/>
  <c r="J16" i="4"/>
  <c r="K16" i="4"/>
  <c r="L16" i="4"/>
  <c r="M16" i="4"/>
  <c r="N16" i="4"/>
  <c r="O16" i="4"/>
  <c r="P16" i="4"/>
  <c r="Q16" i="4"/>
  <c r="R16" i="4"/>
  <c r="S16" i="4"/>
  <c r="T16" i="4"/>
  <c r="U16" i="4"/>
  <c r="V16" i="4"/>
  <c r="W16" i="4"/>
  <c r="X16" i="4"/>
  <c r="Y16" i="4"/>
  <c r="Z16" i="4"/>
  <c r="AA16" i="4"/>
  <c r="AB16" i="4"/>
  <c r="AC16" i="4"/>
  <c r="AD16" i="4"/>
  <c r="AE16" i="4"/>
  <c r="G17" i="4"/>
  <c r="H17" i="4"/>
  <c r="I17" i="4"/>
  <c r="J17" i="4"/>
  <c r="K17" i="4"/>
  <c r="L17" i="4"/>
  <c r="M17" i="4"/>
  <c r="N17" i="4"/>
  <c r="O17" i="4"/>
  <c r="P17" i="4"/>
  <c r="Q17" i="4"/>
  <c r="R17" i="4"/>
  <c r="S17" i="4"/>
  <c r="T17" i="4"/>
  <c r="U17" i="4"/>
  <c r="V17" i="4"/>
  <c r="W17" i="4"/>
  <c r="X17" i="4"/>
  <c r="Y17" i="4"/>
  <c r="Z17" i="4"/>
  <c r="AA17" i="4"/>
  <c r="AB17" i="4"/>
  <c r="AC17" i="4"/>
  <c r="AD17" i="4"/>
  <c r="AE17" i="4"/>
  <c r="G18" i="4"/>
  <c r="H18" i="4"/>
  <c r="I18" i="4"/>
  <c r="J18" i="4"/>
  <c r="K18" i="4"/>
  <c r="L18" i="4"/>
  <c r="M18" i="4"/>
  <c r="N18" i="4"/>
  <c r="O18" i="4"/>
  <c r="P18" i="4"/>
  <c r="Q18" i="4"/>
  <c r="R18" i="4"/>
  <c r="S18" i="4"/>
  <c r="T18" i="4"/>
  <c r="U18" i="4"/>
  <c r="V18" i="4"/>
  <c r="W18" i="4"/>
  <c r="X18" i="4"/>
  <c r="Y18" i="4"/>
  <c r="Z18" i="4"/>
  <c r="AA18" i="4"/>
  <c r="AB18" i="4"/>
  <c r="AC18" i="4"/>
  <c r="AD18" i="4"/>
  <c r="AE18" i="4"/>
  <c r="G19" i="4"/>
  <c r="H19" i="4"/>
  <c r="I19" i="4"/>
  <c r="J19" i="4"/>
  <c r="K19" i="4"/>
  <c r="L19" i="4"/>
  <c r="M19" i="4"/>
  <c r="N19" i="4"/>
  <c r="O19" i="4"/>
  <c r="P19" i="4"/>
  <c r="Q19" i="4"/>
  <c r="R19" i="4"/>
  <c r="S19" i="4"/>
  <c r="T19" i="4"/>
  <c r="U19" i="4"/>
  <c r="V19" i="4"/>
  <c r="W19" i="4"/>
  <c r="X19" i="4"/>
  <c r="Y19" i="4"/>
  <c r="Z19" i="4"/>
  <c r="AA19" i="4"/>
  <c r="AB19" i="4"/>
  <c r="AC19" i="4"/>
  <c r="AD19" i="4"/>
  <c r="AE19" i="4"/>
  <c r="G20" i="4"/>
  <c r="H20" i="4"/>
  <c r="I20" i="4"/>
  <c r="J20" i="4"/>
  <c r="K20" i="4"/>
  <c r="L20" i="4"/>
  <c r="M20" i="4"/>
  <c r="N20" i="4"/>
  <c r="O20" i="4"/>
  <c r="P20" i="4"/>
  <c r="Q20" i="4"/>
  <c r="R20" i="4"/>
  <c r="S20" i="4"/>
  <c r="T20" i="4"/>
  <c r="U20" i="4"/>
  <c r="V20" i="4"/>
  <c r="W20" i="4"/>
  <c r="X20" i="4"/>
  <c r="Y20" i="4"/>
  <c r="Z20" i="4"/>
  <c r="AA20" i="4"/>
  <c r="AB20" i="4"/>
  <c r="AC20" i="4"/>
  <c r="AD20" i="4"/>
  <c r="AE20" i="4"/>
  <c r="G21" i="4"/>
  <c r="H21" i="4"/>
  <c r="I21" i="4"/>
  <c r="J21" i="4"/>
  <c r="K21" i="4"/>
  <c r="L21" i="4"/>
  <c r="M21" i="4"/>
  <c r="N21" i="4"/>
  <c r="O21" i="4"/>
  <c r="P21" i="4"/>
  <c r="Q21" i="4"/>
  <c r="R21" i="4"/>
  <c r="S21" i="4"/>
  <c r="T21" i="4"/>
  <c r="U21" i="4"/>
  <c r="V21" i="4"/>
  <c r="W21" i="4"/>
  <c r="X21" i="4"/>
  <c r="Y21" i="4"/>
  <c r="Z21" i="4"/>
  <c r="AA21" i="4"/>
  <c r="AB21" i="4"/>
  <c r="AC21" i="4"/>
  <c r="AD21" i="4"/>
  <c r="AE21" i="4"/>
  <c r="G22" i="4"/>
  <c r="H22" i="4"/>
  <c r="I22" i="4"/>
  <c r="J22" i="4"/>
  <c r="K22" i="4"/>
  <c r="L22" i="4"/>
  <c r="M22" i="4"/>
  <c r="N22" i="4"/>
  <c r="O22" i="4"/>
  <c r="P22" i="4"/>
  <c r="Q22" i="4"/>
  <c r="R22" i="4"/>
  <c r="S22" i="4"/>
  <c r="T22" i="4"/>
  <c r="U22" i="4"/>
  <c r="V22" i="4"/>
  <c r="W22" i="4"/>
  <c r="X22" i="4"/>
  <c r="Y22" i="4"/>
  <c r="Z22" i="4"/>
  <c r="AA22" i="4"/>
  <c r="AB22" i="4"/>
  <c r="AC22" i="4"/>
  <c r="AD22" i="4"/>
  <c r="AE22" i="4"/>
  <c r="G23" i="4"/>
  <c r="H23" i="4"/>
  <c r="I23" i="4"/>
  <c r="J23" i="4"/>
  <c r="K23" i="4"/>
  <c r="L23" i="4"/>
  <c r="M23" i="4"/>
  <c r="N23" i="4"/>
  <c r="O23" i="4"/>
  <c r="P23" i="4"/>
  <c r="Q23" i="4"/>
  <c r="R23" i="4"/>
  <c r="S23" i="4"/>
  <c r="T23" i="4"/>
  <c r="U23" i="4"/>
  <c r="V23" i="4"/>
  <c r="W23" i="4"/>
  <c r="X23" i="4"/>
  <c r="Y23" i="4"/>
  <c r="Z23" i="4"/>
  <c r="AA23" i="4"/>
  <c r="AB23" i="4"/>
  <c r="AC23" i="4"/>
  <c r="AD23" i="4"/>
  <c r="AE23" i="4"/>
  <c r="G24" i="4"/>
  <c r="H24" i="4"/>
  <c r="I24" i="4"/>
  <c r="J24" i="4"/>
  <c r="K24" i="4"/>
  <c r="L24" i="4"/>
  <c r="M24" i="4"/>
  <c r="N24" i="4"/>
  <c r="O24" i="4"/>
  <c r="P24" i="4"/>
  <c r="Q24" i="4"/>
  <c r="R24" i="4"/>
  <c r="S24" i="4"/>
  <c r="T24" i="4"/>
  <c r="U24" i="4"/>
  <c r="V24" i="4"/>
  <c r="W24" i="4"/>
  <c r="X24" i="4"/>
  <c r="Y24" i="4"/>
  <c r="Z24" i="4"/>
  <c r="AA24" i="4"/>
  <c r="AB24" i="4"/>
  <c r="AC24" i="4"/>
  <c r="AD24" i="4"/>
  <c r="AE24" i="4"/>
  <c r="G25" i="4"/>
  <c r="H25" i="4"/>
  <c r="I25" i="4"/>
  <c r="J25" i="4"/>
  <c r="K25" i="4"/>
  <c r="L25" i="4"/>
  <c r="M25" i="4"/>
  <c r="N25" i="4"/>
  <c r="O25" i="4"/>
  <c r="P25" i="4"/>
  <c r="Q25" i="4"/>
  <c r="R25" i="4"/>
  <c r="S25" i="4"/>
  <c r="T25" i="4"/>
  <c r="U25" i="4"/>
  <c r="V25" i="4"/>
  <c r="W25" i="4"/>
  <c r="X25" i="4"/>
  <c r="Y25" i="4"/>
  <c r="Z25" i="4"/>
  <c r="AA25" i="4"/>
  <c r="AB25" i="4"/>
  <c r="AC25" i="4"/>
  <c r="AD25" i="4"/>
  <c r="AE25" i="4"/>
  <c r="G26" i="4"/>
  <c r="H26" i="4"/>
  <c r="I26" i="4"/>
  <c r="J26" i="4"/>
  <c r="K26" i="4"/>
  <c r="L26" i="4"/>
  <c r="M26" i="4"/>
  <c r="N26" i="4"/>
  <c r="O26" i="4"/>
  <c r="P26" i="4"/>
  <c r="Q26" i="4"/>
  <c r="R26" i="4"/>
  <c r="S26" i="4"/>
  <c r="T26" i="4"/>
  <c r="U26" i="4"/>
  <c r="V26" i="4"/>
  <c r="W26" i="4"/>
  <c r="X26" i="4"/>
  <c r="Y26" i="4"/>
  <c r="Z26" i="4"/>
  <c r="AA26" i="4"/>
  <c r="AB26" i="4"/>
  <c r="AC26" i="4"/>
  <c r="AD26" i="4"/>
  <c r="AE26" i="4"/>
  <c r="G27" i="4"/>
  <c r="H27" i="4"/>
  <c r="I27" i="4"/>
  <c r="J27" i="4"/>
  <c r="K27" i="4"/>
  <c r="L27" i="4"/>
  <c r="M27" i="4"/>
  <c r="N27" i="4"/>
  <c r="O27" i="4"/>
  <c r="P27" i="4"/>
  <c r="Q27" i="4"/>
  <c r="R27" i="4"/>
  <c r="S27" i="4"/>
  <c r="T27" i="4"/>
  <c r="U27" i="4"/>
  <c r="V27" i="4"/>
  <c r="W27" i="4"/>
  <c r="X27" i="4"/>
  <c r="Y27" i="4"/>
  <c r="Z27" i="4"/>
  <c r="AA27" i="4"/>
  <c r="AB27" i="4"/>
  <c r="AC27" i="4"/>
  <c r="AD27" i="4"/>
  <c r="AE27" i="4"/>
  <c r="G28" i="4"/>
  <c r="H28" i="4"/>
  <c r="I28" i="4"/>
  <c r="J28" i="4"/>
  <c r="K28" i="4"/>
  <c r="L28" i="4"/>
  <c r="M28" i="4"/>
  <c r="N28" i="4"/>
  <c r="O28" i="4"/>
  <c r="P28" i="4"/>
  <c r="Q28" i="4"/>
  <c r="R28" i="4"/>
  <c r="S28" i="4"/>
  <c r="T28" i="4"/>
  <c r="U28" i="4"/>
  <c r="V28" i="4"/>
  <c r="W28" i="4"/>
  <c r="X28" i="4"/>
  <c r="Y28" i="4"/>
  <c r="Z28" i="4"/>
  <c r="AA28" i="4"/>
  <c r="AB28" i="4"/>
  <c r="AC28" i="4"/>
  <c r="AD28" i="4"/>
  <c r="AE28" i="4"/>
  <c r="G29" i="4"/>
  <c r="H29" i="4"/>
  <c r="I29" i="4"/>
  <c r="J29" i="4"/>
  <c r="K29" i="4"/>
  <c r="L29" i="4"/>
  <c r="M29" i="4"/>
  <c r="N29" i="4"/>
  <c r="O29" i="4"/>
  <c r="P29" i="4"/>
  <c r="Q29" i="4"/>
  <c r="R29" i="4"/>
  <c r="S29" i="4"/>
  <c r="T29" i="4"/>
  <c r="U29" i="4"/>
  <c r="V29" i="4"/>
  <c r="W29" i="4"/>
  <c r="X29" i="4"/>
  <c r="Y29" i="4"/>
  <c r="Z29" i="4"/>
  <c r="AA29" i="4"/>
  <c r="AB29" i="4"/>
  <c r="AC29" i="4"/>
  <c r="AD29" i="4"/>
  <c r="AE29" i="4"/>
  <c r="G30" i="4"/>
  <c r="H30" i="4"/>
  <c r="I30" i="4"/>
  <c r="J30" i="4"/>
  <c r="K30" i="4"/>
  <c r="L30" i="4"/>
  <c r="M30" i="4"/>
  <c r="N30" i="4"/>
  <c r="O30" i="4"/>
  <c r="P30" i="4"/>
  <c r="Q30" i="4"/>
  <c r="R30" i="4"/>
  <c r="S30" i="4"/>
  <c r="T30" i="4"/>
  <c r="U30" i="4"/>
  <c r="V30" i="4"/>
  <c r="W30" i="4"/>
  <c r="X30" i="4"/>
  <c r="Y30" i="4"/>
  <c r="Z30" i="4"/>
  <c r="AA30" i="4"/>
  <c r="AB30" i="4"/>
  <c r="AC30" i="4"/>
  <c r="AD30" i="4"/>
  <c r="AE30" i="4"/>
  <c r="G31" i="4"/>
  <c r="H31" i="4"/>
  <c r="I31" i="4"/>
  <c r="J31" i="4"/>
  <c r="K31" i="4"/>
  <c r="L31" i="4"/>
  <c r="M31" i="4"/>
  <c r="N31" i="4"/>
  <c r="O31" i="4"/>
  <c r="P31" i="4"/>
  <c r="Q31" i="4"/>
  <c r="R31" i="4"/>
  <c r="S31" i="4"/>
  <c r="T31" i="4"/>
  <c r="U31" i="4"/>
  <c r="V31" i="4"/>
  <c r="W31" i="4"/>
  <c r="X31" i="4"/>
  <c r="Y31" i="4"/>
  <c r="Z31" i="4"/>
  <c r="AA31" i="4"/>
  <c r="AB31" i="4"/>
  <c r="AC31" i="4"/>
  <c r="AD31" i="4"/>
  <c r="AE31" i="4"/>
  <c r="G32" i="4"/>
  <c r="H32" i="4"/>
  <c r="I32" i="4"/>
  <c r="J32" i="4"/>
  <c r="K32" i="4"/>
  <c r="L32" i="4"/>
  <c r="M32" i="4"/>
  <c r="N32" i="4"/>
  <c r="O32" i="4"/>
  <c r="P32" i="4"/>
  <c r="Q32" i="4"/>
  <c r="R32" i="4"/>
  <c r="S32" i="4"/>
  <c r="T32" i="4"/>
  <c r="U32" i="4"/>
  <c r="V32" i="4"/>
  <c r="W32" i="4"/>
  <c r="X32" i="4"/>
  <c r="Y32" i="4"/>
  <c r="Z32" i="4"/>
  <c r="AA32" i="4"/>
  <c r="AB32" i="4"/>
  <c r="AC32" i="4"/>
  <c r="AD32" i="4"/>
  <c r="AE32" i="4"/>
  <c r="G33" i="4"/>
  <c r="H33" i="4"/>
  <c r="I33" i="4"/>
  <c r="J33" i="4"/>
  <c r="K33" i="4"/>
  <c r="L33" i="4"/>
  <c r="M33" i="4"/>
  <c r="N33" i="4"/>
  <c r="O33" i="4"/>
  <c r="P33" i="4"/>
  <c r="Q33" i="4"/>
  <c r="R33" i="4"/>
  <c r="S33" i="4"/>
  <c r="T33" i="4"/>
  <c r="U33" i="4"/>
  <c r="V33" i="4"/>
  <c r="W33" i="4"/>
  <c r="X33" i="4"/>
  <c r="Y33" i="4"/>
  <c r="Z33" i="4"/>
  <c r="AA33" i="4"/>
  <c r="AB33" i="4"/>
  <c r="AC33" i="4"/>
  <c r="AD33" i="4"/>
  <c r="AE33" i="4"/>
  <c r="G34" i="4"/>
  <c r="H34" i="4"/>
  <c r="I34" i="4"/>
  <c r="J34" i="4"/>
  <c r="K34" i="4"/>
  <c r="L34" i="4"/>
  <c r="M34" i="4"/>
  <c r="N34" i="4"/>
  <c r="O34" i="4"/>
  <c r="P34" i="4"/>
  <c r="Q34" i="4"/>
  <c r="R34" i="4"/>
  <c r="S34" i="4"/>
  <c r="T34" i="4"/>
  <c r="U34" i="4"/>
  <c r="V34" i="4"/>
  <c r="W34" i="4"/>
  <c r="X34" i="4"/>
  <c r="Y34" i="4"/>
  <c r="Z34" i="4"/>
  <c r="AA34" i="4"/>
  <c r="AB34" i="4"/>
  <c r="AC34" i="4"/>
  <c r="AD34" i="4"/>
  <c r="AE34" i="4"/>
  <c r="G35" i="4"/>
  <c r="H35" i="4"/>
  <c r="I35" i="4"/>
  <c r="J35" i="4"/>
  <c r="K35" i="4"/>
  <c r="L35" i="4"/>
  <c r="M35" i="4"/>
  <c r="N35" i="4"/>
  <c r="O35" i="4"/>
  <c r="P35" i="4"/>
  <c r="Q35" i="4"/>
  <c r="R35" i="4"/>
  <c r="S35" i="4"/>
  <c r="T35" i="4"/>
  <c r="U35" i="4"/>
  <c r="V35" i="4"/>
  <c r="W35" i="4"/>
  <c r="X35" i="4"/>
  <c r="Y35" i="4"/>
  <c r="Z35" i="4"/>
  <c r="AA35" i="4"/>
  <c r="AB35" i="4"/>
  <c r="AC35" i="4"/>
  <c r="AD35" i="4"/>
  <c r="AE35" i="4"/>
  <c r="G36" i="4"/>
  <c r="H36" i="4"/>
  <c r="I36" i="4"/>
  <c r="J36" i="4"/>
  <c r="K36" i="4"/>
  <c r="L36" i="4"/>
  <c r="M36" i="4"/>
  <c r="N36" i="4"/>
  <c r="O36" i="4"/>
  <c r="P36" i="4"/>
  <c r="Q36" i="4"/>
  <c r="R36" i="4"/>
  <c r="S36" i="4"/>
  <c r="T36" i="4"/>
  <c r="U36" i="4"/>
  <c r="V36" i="4"/>
  <c r="W36" i="4"/>
  <c r="X36" i="4"/>
  <c r="Y36" i="4"/>
  <c r="Z36" i="4"/>
  <c r="AA36" i="4"/>
  <c r="AB36" i="4"/>
  <c r="AC36" i="4"/>
  <c r="AD36" i="4"/>
  <c r="AE36" i="4"/>
  <c r="G37" i="4"/>
  <c r="H37" i="4"/>
  <c r="I37" i="4"/>
  <c r="J37" i="4"/>
  <c r="K37" i="4"/>
  <c r="L37" i="4"/>
  <c r="M37" i="4"/>
  <c r="N37" i="4"/>
  <c r="O37" i="4"/>
  <c r="P37" i="4"/>
  <c r="Q37" i="4"/>
  <c r="R37" i="4"/>
  <c r="S37" i="4"/>
  <c r="T37" i="4"/>
  <c r="U37" i="4"/>
  <c r="V37" i="4"/>
  <c r="W37" i="4"/>
  <c r="X37" i="4"/>
  <c r="Y37" i="4"/>
  <c r="Z37" i="4"/>
  <c r="AA37" i="4"/>
  <c r="AB37" i="4"/>
  <c r="AC37" i="4"/>
  <c r="AD37" i="4"/>
  <c r="AE37" i="4"/>
  <c r="G38" i="4"/>
  <c r="H38" i="4"/>
  <c r="I38" i="4"/>
  <c r="J38" i="4"/>
  <c r="K38" i="4"/>
  <c r="L38" i="4"/>
  <c r="M38" i="4"/>
  <c r="N38" i="4"/>
  <c r="O38" i="4"/>
  <c r="P38" i="4"/>
  <c r="Q38" i="4"/>
  <c r="R38" i="4"/>
  <c r="S38" i="4"/>
  <c r="T38" i="4"/>
  <c r="U38" i="4"/>
  <c r="V38" i="4"/>
  <c r="W38" i="4"/>
  <c r="X38" i="4"/>
  <c r="Y38" i="4"/>
  <c r="Z38" i="4"/>
  <c r="AA38" i="4"/>
  <c r="AB38" i="4"/>
  <c r="AC38" i="4"/>
  <c r="AD38" i="4"/>
  <c r="AE38" i="4"/>
  <c r="G39" i="4"/>
  <c r="H39" i="4"/>
  <c r="I39" i="4"/>
  <c r="J39" i="4"/>
  <c r="K39" i="4"/>
  <c r="L39" i="4"/>
  <c r="M39" i="4"/>
  <c r="N39" i="4"/>
  <c r="O39" i="4"/>
  <c r="P39" i="4"/>
  <c r="Q39" i="4"/>
  <c r="R39" i="4"/>
  <c r="S39" i="4"/>
  <c r="T39" i="4"/>
  <c r="U39" i="4"/>
  <c r="V39" i="4"/>
  <c r="W39" i="4"/>
  <c r="X39" i="4"/>
  <c r="Y39" i="4"/>
  <c r="Z39" i="4"/>
  <c r="AA39" i="4"/>
  <c r="AB39" i="4"/>
  <c r="AC39" i="4"/>
  <c r="AD39" i="4"/>
  <c r="AE39" i="4"/>
  <c r="G40" i="4"/>
  <c r="H40" i="4"/>
  <c r="I40" i="4"/>
  <c r="J40" i="4"/>
  <c r="K40" i="4"/>
  <c r="L40" i="4"/>
  <c r="M40" i="4"/>
  <c r="N40" i="4"/>
  <c r="O40" i="4"/>
  <c r="P40" i="4"/>
  <c r="Q40" i="4"/>
  <c r="R40" i="4"/>
  <c r="S40" i="4"/>
  <c r="T40" i="4"/>
  <c r="U40" i="4"/>
  <c r="V40" i="4"/>
  <c r="W40" i="4"/>
  <c r="X40" i="4"/>
  <c r="Y40" i="4"/>
  <c r="Z40" i="4"/>
  <c r="AA40" i="4"/>
  <c r="AB40" i="4"/>
  <c r="AC40" i="4"/>
  <c r="AD40" i="4"/>
  <c r="AE40" i="4"/>
  <c r="G41" i="4"/>
  <c r="H41" i="4"/>
  <c r="I41" i="4"/>
  <c r="J41" i="4"/>
  <c r="K41" i="4"/>
  <c r="L41" i="4"/>
  <c r="M41" i="4"/>
  <c r="N41" i="4"/>
  <c r="O41" i="4"/>
  <c r="P41" i="4"/>
  <c r="Q41" i="4"/>
  <c r="R41" i="4"/>
  <c r="S41" i="4"/>
  <c r="T41" i="4"/>
  <c r="U41" i="4"/>
  <c r="V41" i="4"/>
  <c r="W41" i="4"/>
  <c r="X41" i="4"/>
  <c r="Y41" i="4"/>
  <c r="Z41" i="4"/>
  <c r="AA41" i="4"/>
  <c r="AB41" i="4"/>
  <c r="AC41" i="4"/>
  <c r="AD41" i="4"/>
  <c r="AE41" i="4"/>
  <c r="G42" i="4"/>
  <c r="H42" i="4"/>
  <c r="I42" i="4"/>
  <c r="J42" i="4"/>
  <c r="K42" i="4"/>
  <c r="L42" i="4"/>
  <c r="M42" i="4"/>
  <c r="N42" i="4"/>
  <c r="O42" i="4"/>
  <c r="P42" i="4"/>
  <c r="Q42" i="4"/>
  <c r="R42" i="4"/>
  <c r="S42" i="4"/>
  <c r="T42" i="4"/>
  <c r="U42" i="4"/>
  <c r="V42" i="4"/>
  <c r="W42" i="4"/>
  <c r="X42" i="4"/>
  <c r="Y42" i="4"/>
  <c r="Z42" i="4"/>
  <c r="AA42" i="4"/>
  <c r="AB42" i="4"/>
  <c r="AC42" i="4"/>
  <c r="AD42" i="4"/>
  <c r="AE42" i="4"/>
  <c r="G43" i="4"/>
  <c r="H43" i="4"/>
  <c r="I43" i="4"/>
  <c r="J43" i="4"/>
  <c r="K43" i="4"/>
  <c r="L43" i="4"/>
  <c r="M43" i="4"/>
  <c r="N43" i="4"/>
  <c r="O43" i="4"/>
  <c r="P43" i="4"/>
  <c r="Q43" i="4"/>
  <c r="R43" i="4"/>
  <c r="S43" i="4"/>
  <c r="T43" i="4"/>
  <c r="U43" i="4"/>
  <c r="V43" i="4"/>
  <c r="W43" i="4"/>
  <c r="X43" i="4"/>
  <c r="Y43" i="4"/>
  <c r="Z43" i="4"/>
  <c r="AA43" i="4"/>
  <c r="AB43" i="4"/>
  <c r="AC43" i="4"/>
  <c r="AD43" i="4"/>
  <c r="AE43" i="4"/>
  <c r="G44" i="4"/>
  <c r="H44" i="4"/>
  <c r="I44" i="4"/>
  <c r="J44" i="4"/>
  <c r="K44" i="4"/>
  <c r="L44" i="4"/>
  <c r="M44" i="4"/>
  <c r="N44" i="4"/>
  <c r="O44" i="4"/>
  <c r="P44" i="4"/>
  <c r="Q44" i="4"/>
  <c r="R44" i="4"/>
  <c r="S44" i="4"/>
  <c r="T44" i="4"/>
  <c r="U44" i="4"/>
  <c r="V44" i="4"/>
  <c r="W44" i="4"/>
  <c r="X44" i="4"/>
  <c r="Y44" i="4"/>
  <c r="Z44" i="4"/>
  <c r="AA44" i="4"/>
  <c r="AB44" i="4"/>
  <c r="AC44" i="4"/>
  <c r="AD44" i="4"/>
  <c r="AE44" i="4"/>
  <c r="G45" i="4"/>
  <c r="H45" i="4"/>
  <c r="I45" i="4"/>
  <c r="J45" i="4"/>
  <c r="K45" i="4"/>
  <c r="L45" i="4"/>
  <c r="M45" i="4"/>
  <c r="N45" i="4"/>
  <c r="O45" i="4"/>
  <c r="P45" i="4"/>
  <c r="Q45" i="4"/>
  <c r="R45" i="4"/>
  <c r="S45" i="4"/>
  <c r="T45" i="4"/>
  <c r="U45" i="4"/>
  <c r="V45" i="4"/>
  <c r="W45" i="4"/>
  <c r="X45" i="4"/>
  <c r="Y45" i="4"/>
  <c r="Z45" i="4"/>
  <c r="AA45" i="4"/>
  <c r="AB45" i="4"/>
  <c r="AC45" i="4"/>
  <c r="AD45" i="4"/>
  <c r="AE45" i="4"/>
  <c r="G46" i="4"/>
  <c r="H46" i="4"/>
  <c r="I46" i="4"/>
  <c r="J46" i="4"/>
  <c r="K46" i="4"/>
  <c r="L46" i="4"/>
  <c r="M46" i="4"/>
  <c r="N46" i="4"/>
  <c r="O46" i="4"/>
  <c r="P46" i="4"/>
  <c r="Q46" i="4"/>
  <c r="R46" i="4"/>
  <c r="S46" i="4"/>
  <c r="T46" i="4"/>
  <c r="U46" i="4"/>
  <c r="V46" i="4"/>
  <c r="W46" i="4"/>
  <c r="X46" i="4"/>
  <c r="Y46" i="4"/>
  <c r="Z46" i="4"/>
  <c r="AA46" i="4"/>
  <c r="AB46" i="4"/>
  <c r="AC46" i="4"/>
  <c r="AD46" i="4"/>
  <c r="AE46" i="4"/>
  <c r="G47" i="4"/>
  <c r="H47" i="4"/>
  <c r="I47" i="4"/>
  <c r="J47" i="4"/>
  <c r="K47" i="4"/>
  <c r="L47" i="4"/>
  <c r="M47" i="4"/>
  <c r="N47" i="4"/>
  <c r="O47" i="4"/>
  <c r="P47" i="4"/>
  <c r="Q47" i="4"/>
  <c r="R47" i="4"/>
  <c r="S47" i="4"/>
  <c r="T47" i="4"/>
  <c r="U47" i="4"/>
  <c r="V47" i="4"/>
  <c r="W47" i="4"/>
  <c r="X47" i="4"/>
  <c r="Y47" i="4"/>
  <c r="Z47" i="4"/>
  <c r="AA47" i="4"/>
  <c r="AB47" i="4"/>
  <c r="AC47" i="4"/>
  <c r="AD47" i="4"/>
  <c r="AE47" i="4"/>
  <c r="G48" i="4"/>
  <c r="H48" i="4"/>
  <c r="I48" i="4"/>
  <c r="J48" i="4"/>
  <c r="K48" i="4"/>
  <c r="L48" i="4"/>
  <c r="M48" i="4"/>
  <c r="N48" i="4"/>
  <c r="O48" i="4"/>
  <c r="P48" i="4"/>
  <c r="Q48" i="4"/>
  <c r="R48" i="4"/>
  <c r="S48" i="4"/>
  <c r="T48" i="4"/>
  <c r="U48" i="4"/>
  <c r="V48" i="4"/>
  <c r="W48" i="4"/>
  <c r="X48" i="4"/>
  <c r="Y48" i="4"/>
  <c r="Z48" i="4"/>
  <c r="AA48" i="4"/>
  <c r="AB48" i="4"/>
  <c r="AC48" i="4"/>
  <c r="AD48" i="4"/>
  <c r="AE48" i="4"/>
  <c r="G49" i="4"/>
  <c r="H49" i="4"/>
  <c r="I49" i="4"/>
  <c r="J49" i="4"/>
  <c r="K49" i="4"/>
  <c r="L49" i="4"/>
  <c r="M49" i="4"/>
  <c r="N49" i="4"/>
  <c r="O49" i="4"/>
  <c r="P49" i="4"/>
  <c r="Q49" i="4"/>
  <c r="R49" i="4"/>
  <c r="S49" i="4"/>
  <c r="T49" i="4"/>
  <c r="U49" i="4"/>
  <c r="V49" i="4"/>
  <c r="W49" i="4"/>
  <c r="X49" i="4"/>
  <c r="Y49" i="4"/>
  <c r="Z49" i="4"/>
  <c r="AA49" i="4"/>
  <c r="AB49" i="4"/>
  <c r="AC49" i="4"/>
  <c r="AD49" i="4"/>
  <c r="AE49" i="4"/>
  <c r="G50" i="4"/>
  <c r="H50" i="4"/>
  <c r="I50" i="4"/>
  <c r="J50" i="4"/>
  <c r="K50" i="4"/>
  <c r="L50" i="4"/>
  <c r="M50" i="4"/>
  <c r="N50" i="4"/>
  <c r="O50" i="4"/>
  <c r="P50" i="4"/>
  <c r="Q50" i="4"/>
  <c r="R50" i="4"/>
  <c r="S50" i="4"/>
  <c r="T50" i="4"/>
  <c r="U50" i="4"/>
  <c r="V50" i="4"/>
  <c r="W50" i="4"/>
  <c r="X50" i="4"/>
  <c r="Y50" i="4"/>
  <c r="Z50" i="4"/>
  <c r="AA50" i="4"/>
  <c r="AB50" i="4"/>
  <c r="AC50" i="4"/>
  <c r="AD50" i="4"/>
  <c r="AE50" i="4"/>
  <c r="G51" i="4"/>
  <c r="H51" i="4"/>
  <c r="I51" i="4"/>
  <c r="J51" i="4"/>
  <c r="K51" i="4"/>
  <c r="L51" i="4"/>
  <c r="M51" i="4"/>
  <c r="N51" i="4"/>
  <c r="O51" i="4"/>
  <c r="P51" i="4"/>
  <c r="Q51" i="4"/>
  <c r="R51" i="4"/>
  <c r="S51" i="4"/>
  <c r="T51" i="4"/>
  <c r="U51" i="4"/>
  <c r="V51" i="4"/>
  <c r="W51" i="4"/>
  <c r="X51" i="4"/>
  <c r="Y51" i="4"/>
  <c r="Z51" i="4"/>
  <c r="AA51" i="4"/>
  <c r="AB51" i="4"/>
  <c r="AC51" i="4"/>
  <c r="AD51" i="4"/>
  <c r="AE51" i="4"/>
  <c r="G52" i="4"/>
  <c r="H52" i="4"/>
  <c r="I52" i="4"/>
  <c r="J52" i="4"/>
  <c r="K52" i="4"/>
  <c r="L52" i="4"/>
  <c r="M52" i="4"/>
  <c r="N52" i="4"/>
  <c r="O52" i="4"/>
  <c r="P52" i="4"/>
  <c r="Q52" i="4"/>
  <c r="R52" i="4"/>
  <c r="S52" i="4"/>
  <c r="T52" i="4"/>
  <c r="U52" i="4"/>
  <c r="V52" i="4"/>
  <c r="W52" i="4"/>
  <c r="X52" i="4"/>
  <c r="Y52" i="4"/>
  <c r="Z52" i="4"/>
  <c r="AA52" i="4"/>
  <c r="AB52" i="4"/>
  <c r="AC52" i="4"/>
  <c r="AD52" i="4"/>
  <c r="AE52" i="4"/>
  <c r="G53" i="4"/>
  <c r="H53" i="4"/>
  <c r="I53" i="4"/>
  <c r="J53" i="4"/>
  <c r="K53" i="4"/>
  <c r="L53" i="4"/>
  <c r="M53" i="4"/>
  <c r="N53" i="4"/>
  <c r="O53" i="4"/>
  <c r="P53" i="4"/>
  <c r="Q53" i="4"/>
  <c r="R53" i="4"/>
  <c r="S53" i="4"/>
  <c r="T53" i="4"/>
  <c r="U53" i="4"/>
  <c r="V53" i="4"/>
  <c r="W53" i="4"/>
  <c r="X53" i="4"/>
  <c r="Y53" i="4"/>
  <c r="Z53" i="4"/>
  <c r="AA53" i="4"/>
  <c r="AB53" i="4"/>
  <c r="AC53" i="4"/>
  <c r="AD53" i="4"/>
  <c r="AE53" i="4"/>
  <c r="G54" i="4"/>
  <c r="H54" i="4"/>
  <c r="I54" i="4"/>
  <c r="J54" i="4"/>
  <c r="K54" i="4"/>
  <c r="L54" i="4"/>
  <c r="M54" i="4"/>
  <c r="N54" i="4"/>
  <c r="O54" i="4"/>
  <c r="P54" i="4"/>
  <c r="Q54" i="4"/>
  <c r="R54" i="4"/>
  <c r="S54" i="4"/>
  <c r="T54" i="4"/>
  <c r="U54" i="4"/>
  <c r="V54" i="4"/>
  <c r="W54" i="4"/>
  <c r="X54" i="4"/>
  <c r="Y54" i="4"/>
  <c r="Z54" i="4"/>
  <c r="AA54" i="4"/>
  <c r="AB54" i="4"/>
  <c r="AC54" i="4"/>
  <c r="AD54" i="4"/>
  <c r="AE54" i="4"/>
  <c r="G55" i="4"/>
  <c r="H55" i="4"/>
  <c r="I55" i="4"/>
  <c r="J55" i="4"/>
  <c r="K55" i="4"/>
  <c r="L55" i="4"/>
  <c r="M55" i="4"/>
  <c r="N55" i="4"/>
  <c r="O55" i="4"/>
  <c r="P55" i="4"/>
  <c r="Q55" i="4"/>
  <c r="R55" i="4"/>
  <c r="S55" i="4"/>
  <c r="T55" i="4"/>
  <c r="U55" i="4"/>
  <c r="V55" i="4"/>
  <c r="W55" i="4"/>
  <c r="X55" i="4"/>
  <c r="Y55" i="4"/>
  <c r="Z55" i="4"/>
  <c r="AA55" i="4"/>
  <c r="AB55" i="4"/>
  <c r="AC55" i="4"/>
  <c r="AD55" i="4"/>
  <c r="AE55" i="4"/>
  <c r="G56" i="4"/>
  <c r="H56" i="4"/>
  <c r="I56" i="4"/>
  <c r="J56" i="4"/>
  <c r="K56" i="4"/>
  <c r="L56" i="4"/>
  <c r="M56" i="4"/>
  <c r="N56" i="4"/>
  <c r="O56" i="4"/>
  <c r="P56" i="4"/>
  <c r="Q56" i="4"/>
  <c r="R56" i="4"/>
  <c r="S56" i="4"/>
  <c r="T56" i="4"/>
  <c r="U56" i="4"/>
  <c r="V56" i="4"/>
  <c r="W56" i="4"/>
  <c r="X56" i="4"/>
  <c r="Y56" i="4"/>
  <c r="Z56" i="4"/>
  <c r="AA56" i="4"/>
  <c r="AB56" i="4"/>
  <c r="AC56" i="4"/>
  <c r="AD56" i="4"/>
  <c r="AE56" i="4"/>
  <c r="G57" i="4"/>
  <c r="H57" i="4"/>
  <c r="I57" i="4"/>
  <c r="J57" i="4"/>
  <c r="K57" i="4"/>
  <c r="L57" i="4"/>
  <c r="M57" i="4"/>
  <c r="N57" i="4"/>
  <c r="O57" i="4"/>
  <c r="P57" i="4"/>
  <c r="Q57" i="4"/>
  <c r="R57" i="4"/>
  <c r="S57" i="4"/>
  <c r="T57" i="4"/>
  <c r="U57" i="4"/>
  <c r="V57" i="4"/>
  <c r="W57" i="4"/>
  <c r="X57" i="4"/>
  <c r="Y57" i="4"/>
  <c r="Z57" i="4"/>
  <c r="AA57" i="4"/>
  <c r="AB57" i="4"/>
  <c r="AC57" i="4"/>
  <c r="AD57" i="4"/>
  <c r="AE57" i="4"/>
  <c r="G58" i="4"/>
  <c r="H58" i="4"/>
  <c r="I58" i="4"/>
  <c r="J58" i="4"/>
  <c r="K58" i="4"/>
  <c r="L58" i="4"/>
  <c r="M58" i="4"/>
  <c r="N58" i="4"/>
  <c r="O58" i="4"/>
  <c r="P58" i="4"/>
  <c r="Q58" i="4"/>
  <c r="R58" i="4"/>
  <c r="S58" i="4"/>
  <c r="T58" i="4"/>
  <c r="U58" i="4"/>
  <c r="V58" i="4"/>
  <c r="W58" i="4"/>
  <c r="X58" i="4"/>
  <c r="Y58" i="4"/>
  <c r="Z58" i="4"/>
  <c r="AA58" i="4"/>
  <c r="AB58" i="4"/>
  <c r="AC58" i="4"/>
  <c r="AD58" i="4"/>
  <c r="AE58" i="4"/>
  <c r="G59" i="4"/>
  <c r="H59" i="4"/>
  <c r="I59" i="4"/>
  <c r="J59" i="4"/>
  <c r="K59" i="4"/>
  <c r="L59" i="4"/>
  <c r="M59" i="4"/>
  <c r="N59" i="4"/>
  <c r="O59" i="4"/>
  <c r="P59" i="4"/>
  <c r="Q59" i="4"/>
  <c r="R59" i="4"/>
  <c r="S59" i="4"/>
  <c r="T59" i="4"/>
  <c r="U59" i="4"/>
  <c r="V59" i="4"/>
  <c r="W59" i="4"/>
  <c r="X59" i="4"/>
  <c r="Y59" i="4"/>
  <c r="Z59" i="4"/>
  <c r="AA59" i="4"/>
  <c r="AB59" i="4"/>
  <c r="AC59" i="4"/>
  <c r="AD59" i="4"/>
  <c r="AE59" i="4"/>
  <c r="G60" i="4"/>
  <c r="H60" i="4"/>
  <c r="I60" i="4"/>
  <c r="J60" i="4"/>
  <c r="K60" i="4"/>
  <c r="L60" i="4"/>
  <c r="M60" i="4"/>
  <c r="N60" i="4"/>
  <c r="O60" i="4"/>
  <c r="P60" i="4"/>
  <c r="Q60" i="4"/>
  <c r="R60" i="4"/>
  <c r="S60" i="4"/>
  <c r="T60" i="4"/>
  <c r="U60" i="4"/>
  <c r="V60" i="4"/>
  <c r="W60" i="4"/>
  <c r="X60" i="4"/>
  <c r="Y60" i="4"/>
  <c r="Z60" i="4"/>
  <c r="AA60" i="4"/>
  <c r="AB60" i="4"/>
  <c r="AC60" i="4"/>
  <c r="AD60" i="4"/>
  <c r="AE60" i="4"/>
  <c r="G61" i="4"/>
  <c r="H61" i="4"/>
  <c r="I61" i="4"/>
  <c r="J61" i="4"/>
  <c r="K61" i="4"/>
  <c r="L61" i="4"/>
  <c r="M61" i="4"/>
  <c r="N61" i="4"/>
  <c r="O61" i="4"/>
  <c r="P61" i="4"/>
  <c r="Q61" i="4"/>
  <c r="R61" i="4"/>
  <c r="S61" i="4"/>
  <c r="T61" i="4"/>
  <c r="U61" i="4"/>
  <c r="V61" i="4"/>
  <c r="W61" i="4"/>
  <c r="X61" i="4"/>
  <c r="Y61" i="4"/>
  <c r="Z61" i="4"/>
  <c r="AA61" i="4"/>
  <c r="AB61" i="4"/>
  <c r="AC61" i="4"/>
  <c r="AD61" i="4"/>
  <c r="AE61" i="4"/>
  <c r="G62" i="4"/>
  <c r="H62" i="4"/>
  <c r="I62" i="4"/>
  <c r="J62" i="4"/>
  <c r="K62" i="4"/>
  <c r="L62" i="4"/>
  <c r="M62" i="4"/>
  <c r="N62" i="4"/>
  <c r="O62" i="4"/>
  <c r="P62" i="4"/>
  <c r="Q62" i="4"/>
  <c r="R62" i="4"/>
  <c r="S62" i="4"/>
  <c r="T62" i="4"/>
  <c r="U62" i="4"/>
  <c r="V62" i="4"/>
  <c r="W62" i="4"/>
  <c r="X62" i="4"/>
  <c r="Y62" i="4"/>
  <c r="Z62" i="4"/>
  <c r="AA62" i="4"/>
  <c r="AB62" i="4"/>
  <c r="AC62" i="4"/>
  <c r="AD62" i="4"/>
  <c r="AE62" i="4"/>
  <c r="G63" i="4"/>
  <c r="H63" i="4"/>
  <c r="I63" i="4"/>
  <c r="J63" i="4"/>
  <c r="K63" i="4"/>
  <c r="L63" i="4"/>
  <c r="M63" i="4"/>
  <c r="N63" i="4"/>
  <c r="O63" i="4"/>
  <c r="P63" i="4"/>
  <c r="Q63" i="4"/>
  <c r="R63" i="4"/>
  <c r="S63" i="4"/>
  <c r="T63" i="4"/>
  <c r="U63" i="4"/>
  <c r="V63" i="4"/>
  <c r="W63" i="4"/>
  <c r="X63" i="4"/>
  <c r="Y63" i="4"/>
  <c r="Z63" i="4"/>
  <c r="AA63" i="4"/>
  <c r="AB63" i="4"/>
  <c r="AC63" i="4"/>
  <c r="AD63" i="4"/>
  <c r="AE63" i="4"/>
  <c r="G64" i="4"/>
  <c r="H64" i="4"/>
  <c r="I64" i="4"/>
  <c r="J64" i="4"/>
  <c r="K64" i="4"/>
  <c r="L64" i="4"/>
  <c r="M64" i="4"/>
  <c r="N64" i="4"/>
  <c r="O64" i="4"/>
  <c r="P64" i="4"/>
  <c r="Q64" i="4"/>
  <c r="R64" i="4"/>
  <c r="S64" i="4"/>
  <c r="T64" i="4"/>
  <c r="U64" i="4"/>
  <c r="V64" i="4"/>
  <c r="W64" i="4"/>
  <c r="X64" i="4"/>
  <c r="Y64" i="4"/>
  <c r="Z64" i="4"/>
  <c r="AA64" i="4"/>
  <c r="AB64" i="4"/>
  <c r="AC64" i="4"/>
  <c r="AD64" i="4"/>
  <c r="AE64" i="4"/>
  <c r="G65" i="4"/>
  <c r="H65" i="4"/>
  <c r="I65" i="4"/>
  <c r="J65" i="4"/>
  <c r="K65" i="4"/>
  <c r="L65" i="4"/>
  <c r="M65" i="4"/>
  <c r="N65" i="4"/>
  <c r="O65" i="4"/>
  <c r="P65" i="4"/>
  <c r="Q65" i="4"/>
  <c r="R65" i="4"/>
  <c r="S65" i="4"/>
  <c r="T65" i="4"/>
  <c r="U65" i="4"/>
  <c r="V65" i="4"/>
  <c r="W65" i="4"/>
  <c r="X65" i="4"/>
  <c r="Y65" i="4"/>
  <c r="Z65" i="4"/>
  <c r="AA65" i="4"/>
  <c r="AB65" i="4"/>
  <c r="AC65" i="4"/>
  <c r="AD65" i="4"/>
  <c r="AE65" i="4"/>
  <c r="G66" i="4"/>
  <c r="H66" i="4"/>
  <c r="I66" i="4"/>
  <c r="J66" i="4"/>
  <c r="K66" i="4"/>
  <c r="L66" i="4"/>
  <c r="M66" i="4"/>
  <c r="N66" i="4"/>
  <c r="O66" i="4"/>
  <c r="P66" i="4"/>
  <c r="Q66" i="4"/>
  <c r="R66" i="4"/>
  <c r="S66" i="4"/>
  <c r="T66" i="4"/>
  <c r="U66" i="4"/>
  <c r="V66" i="4"/>
  <c r="W66" i="4"/>
  <c r="X66" i="4"/>
  <c r="Y66" i="4"/>
  <c r="Z66" i="4"/>
  <c r="AA66" i="4"/>
  <c r="AB66" i="4"/>
  <c r="AC66" i="4"/>
  <c r="AD66" i="4"/>
  <c r="AE66" i="4"/>
  <c r="G67" i="4"/>
  <c r="H67" i="4"/>
  <c r="I67" i="4"/>
  <c r="J67" i="4"/>
  <c r="K67" i="4"/>
  <c r="L67" i="4"/>
  <c r="M67" i="4"/>
  <c r="N67" i="4"/>
  <c r="O67" i="4"/>
  <c r="P67" i="4"/>
  <c r="Q67" i="4"/>
  <c r="R67" i="4"/>
  <c r="S67" i="4"/>
  <c r="T67" i="4"/>
  <c r="U67" i="4"/>
  <c r="V67" i="4"/>
  <c r="W67" i="4"/>
  <c r="X67" i="4"/>
  <c r="Y67" i="4"/>
  <c r="Z67" i="4"/>
  <c r="AA67" i="4"/>
  <c r="AB67" i="4"/>
  <c r="AC67" i="4"/>
  <c r="AD67" i="4"/>
  <c r="AE67" i="4"/>
  <c r="G68" i="4"/>
  <c r="H68" i="4"/>
  <c r="I68" i="4"/>
  <c r="J68" i="4"/>
  <c r="K68" i="4"/>
  <c r="L68" i="4"/>
  <c r="M68" i="4"/>
  <c r="N68" i="4"/>
  <c r="O68" i="4"/>
  <c r="P68" i="4"/>
  <c r="Q68" i="4"/>
  <c r="R68" i="4"/>
  <c r="S68" i="4"/>
  <c r="T68" i="4"/>
  <c r="U68" i="4"/>
  <c r="V68" i="4"/>
  <c r="W68" i="4"/>
  <c r="X68" i="4"/>
  <c r="Y68" i="4"/>
  <c r="Z68" i="4"/>
  <c r="AA68" i="4"/>
  <c r="AB68" i="4"/>
  <c r="AC68" i="4"/>
  <c r="AD68" i="4"/>
  <c r="AE68" i="4"/>
  <c r="G69" i="4"/>
  <c r="H69" i="4"/>
  <c r="I69" i="4"/>
  <c r="J69" i="4"/>
  <c r="K69" i="4"/>
  <c r="L69" i="4"/>
  <c r="M69" i="4"/>
  <c r="N69" i="4"/>
  <c r="O69" i="4"/>
  <c r="P69" i="4"/>
  <c r="Q69" i="4"/>
  <c r="R69" i="4"/>
  <c r="S69" i="4"/>
  <c r="T69" i="4"/>
  <c r="U69" i="4"/>
  <c r="V69" i="4"/>
  <c r="W69" i="4"/>
  <c r="X69" i="4"/>
  <c r="Y69" i="4"/>
  <c r="Z69" i="4"/>
  <c r="AA69" i="4"/>
  <c r="AB69" i="4"/>
  <c r="AC69" i="4"/>
  <c r="AD69" i="4"/>
  <c r="AE69" i="4"/>
  <c r="G70" i="4"/>
  <c r="H70" i="4"/>
  <c r="I70" i="4"/>
  <c r="J70" i="4"/>
  <c r="K70" i="4"/>
  <c r="L70" i="4"/>
  <c r="M70" i="4"/>
  <c r="N70" i="4"/>
  <c r="O70" i="4"/>
  <c r="P70" i="4"/>
  <c r="Q70" i="4"/>
  <c r="R70" i="4"/>
  <c r="S70" i="4"/>
  <c r="T70" i="4"/>
  <c r="U70" i="4"/>
  <c r="V70" i="4"/>
  <c r="W70" i="4"/>
  <c r="X70" i="4"/>
  <c r="Y70" i="4"/>
  <c r="Z70" i="4"/>
  <c r="AA70" i="4"/>
  <c r="AB70" i="4"/>
  <c r="AC70" i="4"/>
  <c r="AD70" i="4"/>
  <c r="AE70" i="4"/>
  <c r="G71" i="4"/>
  <c r="H71" i="4"/>
  <c r="I71" i="4"/>
  <c r="J71" i="4"/>
  <c r="K71" i="4"/>
  <c r="L71" i="4"/>
  <c r="M71" i="4"/>
  <c r="N71" i="4"/>
  <c r="O71" i="4"/>
  <c r="P71" i="4"/>
  <c r="Q71" i="4"/>
  <c r="R71" i="4"/>
  <c r="S71" i="4"/>
  <c r="T71" i="4"/>
  <c r="U71" i="4"/>
  <c r="V71" i="4"/>
  <c r="W71" i="4"/>
  <c r="X71" i="4"/>
  <c r="Y71" i="4"/>
  <c r="Z71" i="4"/>
  <c r="AA71" i="4"/>
  <c r="AB71" i="4"/>
  <c r="AC71" i="4"/>
  <c r="AD71" i="4"/>
  <c r="AE71" i="4"/>
  <c r="G72" i="4"/>
  <c r="H72" i="4"/>
  <c r="I72" i="4"/>
  <c r="J72" i="4"/>
  <c r="K72" i="4"/>
  <c r="L72" i="4"/>
  <c r="M72" i="4"/>
  <c r="N72" i="4"/>
  <c r="O72" i="4"/>
  <c r="P72" i="4"/>
  <c r="Q72" i="4"/>
  <c r="R72" i="4"/>
  <c r="S72" i="4"/>
  <c r="T72" i="4"/>
  <c r="U72" i="4"/>
  <c r="V72" i="4"/>
  <c r="W72" i="4"/>
  <c r="X72" i="4"/>
  <c r="Y72" i="4"/>
  <c r="Z72" i="4"/>
  <c r="AA72" i="4"/>
  <c r="AB72" i="4"/>
  <c r="AC72" i="4"/>
  <c r="AD72" i="4"/>
  <c r="AE72" i="4"/>
  <c r="G73" i="4"/>
  <c r="H73" i="4"/>
  <c r="I73" i="4"/>
  <c r="J73" i="4"/>
  <c r="K73" i="4"/>
  <c r="L73" i="4"/>
  <c r="M73" i="4"/>
  <c r="N73" i="4"/>
  <c r="O73" i="4"/>
  <c r="P73" i="4"/>
  <c r="Q73" i="4"/>
  <c r="R73" i="4"/>
  <c r="S73" i="4"/>
  <c r="T73" i="4"/>
  <c r="U73" i="4"/>
  <c r="V73" i="4"/>
  <c r="W73" i="4"/>
  <c r="X73" i="4"/>
  <c r="Y73" i="4"/>
  <c r="Z73" i="4"/>
  <c r="AA73" i="4"/>
  <c r="AB73" i="4"/>
  <c r="AC73" i="4"/>
  <c r="AD73" i="4"/>
  <c r="AE73" i="4"/>
  <c r="G74" i="4"/>
  <c r="H74" i="4"/>
  <c r="I74" i="4"/>
  <c r="J74" i="4"/>
  <c r="K74" i="4"/>
  <c r="L74" i="4"/>
  <c r="M74" i="4"/>
  <c r="N74" i="4"/>
  <c r="O74" i="4"/>
  <c r="P74" i="4"/>
  <c r="Q74" i="4"/>
  <c r="R74" i="4"/>
  <c r="S74" i="4"/>
  <c r="T74" i="4"/>
  <c r="U74" i="4"/>
  <c r="V74" i="4"/>
  <c r="W74" i="4"/>
  <c r="X74" i="4"/>
  <c r="Y74" i="4"/>
  <c r="Z74" i="4"/>
  <c r="AA74" i="4"/>
  <c r="AB74" i="4"/>
  <c r="AC74" i="4"/>
  <c r="AD74" i="4"/>
  <c r="AE74" i="4"/>
  <c r="G75" i="4"/>
  <c r="H75" i="4"/>
  <c r="I75" i="4"/>
  <c r="J75" i="4"/>
  <c r="K75" i="4"/>
  <c r="L75" i="4"/>
  <c r="M75" i="4"/>
  <c r="N75" i="4"/>
  <c r="O75" i="4"/>
  <c r="P75" i="4"/>
  <c r="Q75" i="4"/>
  <c r="R75" i="4"/>
  <c r="S75" i="4"/>
  <c r="T75" i="4"/>
  <c r="U75" i="4"/>
  <c r="V75" i="4"/>
  <c r="W75" i="4"/>
  <c r="X75" i="4"/>
  <c r="Y75" i="4"/>
  <c r="Z75" i="4"/>
  <c r="AA75" i="4"/>
  <c r="AB75" i="4"/>
  <c r="AC75" i="4"/>
  <c r="AD75" i="4"/>
  <c r="AE75" i="4"/>
  <c r="G76" i="4"/>
  <c r="H76" i="4"/>
  <c r="I76" i="4"/>
  <c r="J76" i="4"/>
  <c r="K76" i="4"/>
  <c r="L76" i="4"/>
  <c r="M76" i="4"/>
  <c r="N76" i="4"/>
  <c r="O76" i="4"/>
  <c r="P76" i="4"/>
  <c r="Q76" i="4"/>
  <c r="R76" i="4"/>
  <c r="S76" i="4"/>
  <c r="T76" i="4"/>
  <c r="U76" i="4"/>
  <c r="V76" i="4"/>
  <c r="W76" i="4"/>
  <c r="X76" i="4"/>
  <c r="Y76" i="4"/>
  <c r="Z76" i="4"/>
  <c r="AA76" i="4"/>
  <c r="AB76" i="4"/>
  <c r="AC76" i="4"/>
  <c r="AD76" i="4"/>
  <c r="AE76" i="4"/>
  <c r="G77" i="4"/>
  <c r="H77" i="4"/>
  <c r="I77" i="4"/>
  <c r="J77" i="4"/>
  <c r="K77" i="4"/>
  <c r="L77" i="4"/>
  <c r="M77" i="4"/>
  <c r="N77" i="4"/>
  <c r="O77" i="4"/>
  <c r="P77" i="4"/>
  <c r="Q77" i="4"/>
  <c r="R77" i="4"/>
  <c r="S77" i="4"/>
  <c r="T77" i="4"/>
  <c r="U77" i="4"/>
  <c r="V77" i="4"/>
  <c r="W77" i="4"/>
  <c r="X77" i="4"/>
  <c r="Y77" i="4"/>
  <c r="Z77" i="4"/>
  <c r="AA77" i="4"/>
  <c r="AB77" i="4"/>
  <c r="AC77" i="4"/>
  <c r="AD77" i="4"/>
  <c r="AE77" i="4"/>
  <c r="G78" i="4"/>
  <c r="H78" i="4"/>
  <c r="I78" i="4"/>
  <c r="J78" i="4"/>
  <c r="K78" i="4"/>
  <c r="L78" i="4"/>
  <c r="M78" i="4"/>
  <c r="N78" i="4"/>
  <c r="O78" i="4"/>
  <c r="P78" i="4"/>
  <c r="Q78" i="4"/>
  <c r="R78" i="4"/>
  <c r="S78" i="4"/>
  <c r="T78" i="4"/>
  <c r="U78" i="4"/>
  <c r="V78" i="4"/>
  <c r="W78" i="4"/>
  <c r="X78" i="4"/>
  <c r="Y78" i="4"/>
  <c r="Z78" i="4"/>
  <c r="AA78" i="4"/>
  <c r="AB78" i="4"/>
  <c r="AC78" i="4"/>
  <c r="AD78" i="4"/>
  <c r="AE78" i="4"/>
  <c r="G79" i="4"/>
  <c r="H79" i="4"/>
  <c r="I79" i="4"/>
  <c r="J79" i="4"/>
  <c r="K79" i="4"/>
  <c r="L79" i="4"/>
  <c r="M79" i="4"/>
  <c r="N79" i="4"/>
  <c r="O79" i="4"/>
  <c r="P79" i="4"/>
  <c r="Q79" i="4"/>
  <c r="R79" i="4"/>
  <c r="S79" i="4"/>
  <c r="T79" i="4"/>
  <c r="U79" i="4"/>
  <c r="V79" i="4"/>
  <c r="W79" i="4"/>
  <c r="X79" i="4"/>
  <c r="Y79" i="4"/>
  <c r="Z79" i="4"/>
  <c r="AA79" i="4"/>
  <c r="AB79" i="4"/>
  <c r="AC79" i="4"/>
  <c r="AD79" i="4"/>
  <c r="AE79" i="4"/>
  <c r="G80" i="4"/>
  <c r="H80" i="4"/>
  <c r="I80" i="4"/>
  <c r="J80" i="4"/>
  <c r="K80" i="4"/>
  <c r="L80" i="4"/>
  <c r="M80" i="4"/>
  <c r="N80" i="4"/>
  <c r="O80" i="4"/>
  <c r="P80" i="4"/>
  <c r="Q80" i="4"/>
  <c r="R80" i="4"/>
  <c r="S80" i="4"/>
  <c r="T80" i="4"/>
  <c r="U80" i="4"/>
  <c r="V80" i="4"/>
  <c r="W80" i="4"/>
  <c r="X80" i="4"/>
  <c r="Y80" i="4"/>
  <c r="Z80" i="4"/>
  <c r="AA80" i="4"/>
  <c r="AB80" i="4"/>
  <c r="AC80" i="4"/>
  <c r="AD80" i="4"/>
  <c r="AE80" i="4"/>
  <c r="G81" i="4"/>
  <c r="H81" i="4"/>
  <c r="I81" i="4"/>
  <c r="J81" i="4"/>
  <c r="K81" i="4"/>
  <c r="L81" i="4"/>
  <c r="M81" i="4"/>
  <c r="N81" i="4"/>
  <c r="O81" i="4"/>
  <c r="P81" i="4"/>
  <c r="Q81" i="4"/>
  <c r="R81" i="4"/>
  <c r="S81" i="4"/>
  <c r="T81" i="4"/>
  <c r="U81" i="4"/>
  <c r="V81" i="4"/>
  <c r="W81" i="4"/>
  <c r="X81" i="4"/>
  <c r="Y81" i="4"/>
  <c r="Z81" i="4"/>
  <c r="AA81" i="4"/>
  <c r="AB81" i="4"/>
  <c r="AC81" i="4"/>
  <c r="AD81" i="4"/>
  <c r="AE81" i="4"/>
  <c r="G82" i="4"/>
  <c r="H82" i="4"/>
  <c r="I82" i="4"/>
  <c r="J82" i="4"/>
  <c r="K82" i="4"/>
  <c r="L82" i="4"/>
  <c r="M82" i="4"/>
  <c r="N82" i="4"/>
  <c r="O82" i="4"/>
  <c r="P82" i="4"/>
  <c r="Q82" i="4"/>
  <c r="R82" i="4"/>
  <c r="S82" i="4"/>
  <c r="T82" i="4"/>
  <c r="U82" i="4"/>
  <c r="V82" i="4"/>
  <c r="W82" i="4"/>
  <c r="X82" i="4"/>
  <c r="Y82" i="4"/>
  <c r="Z82" i="4"/>
  <c r="AA82" i="4"/>
  <c r="AB82" i="4"/>
  <c r="AC82" i="4"/>
  <c r="AD82" i="4"/>
  <c r="AE82" i="4"/>
  <c r="G83" i="4"/>
  <c r="H83" i="4"/>
  <c r="I83" i="4"/>
  <c r="J83" i="4"/>
  <c r="K83" i="4"/>
  <c r="L83" i="4"/>
  <c r="M83" i="4"/>
  <c r="N83" i="4"/>
  <c r="O83" i="4"/>
  <c r="P83" i="4"/>
  <c r="Q83" i="4"/>
  <c r="R83" i="4"/>
  <c r="S83" i="4"/>
  <c r="T83" i="4"/>
  <c r="U83" i="4"/>
  <c r="V83" i="4"/>
  <c r="W83" i="4"/>
  <c r="X83" i="4"/>
  <c r="Y83" i="4"/>
  <c r="Z83" i="4"/>
  <c r="AA83" i="4"/>
  <c r="AB83" i="4"/>
  <c r="AC83" i="4"/>
  <c r="AD83" i="4"/>
  <c r="AE83" i="4"/>
  <c r="G84" i="4"/>
  <c r="H84" i="4"/>
  <c r="I84" i="4"/>
  <c r="J84" i="4"/>
  <c r="K84" i="4"/>
  <c r="L84" i="4"/>
  <c r="M84" i="4"/>
  <c r="N84" i="4"/>
  <c r="O84" i="4"/>
  <c r="P84" i="4"/>
  <c r="Q84" i="4"/>
  <c r="R84" i="4"/>
  <c r="S84" i="4"/>
  <c r="T84" i="4"/>
  <c r="U84" i="4"/>
  <c r="V84" i="4"/>
  <c r="W84" i="4"/>
  <c r="X84" i="4"/>
  <c r="Y84" i="4"/>
  <c r="Z84" i="4"/>
  <c r="AA84" i="4"/>
  <c r="AB84" i="4"/>
  <c r="AC84" i="4"/>
  <c r="AD84" i="4"/>
  <c r="AE84" i="4"/>
  <c r="G85" i="4"/>
  <c r="H85" i="4"/>
  <c r="I85" i="4"/>
  <c r="J85" i="4"/>
  <c r="K85" i="4"/>
  <c r="L85" i="4"/>
  <c r="M85" i="4"/>
  <c r="N85" i="4"/>
  <c r="O85" i="4"/>
  <c r="P85" i="4"/>
  <c r="Q85" i="4"/>
  <c r="R85" i="4"/>
  <c r="S85" i="4"/>
  <c r="T85" i="4"/>
  <c r="U85" i="4"/>
  <c r="V85" i="4"/>
  <c r="W85" i="4"/>
  <c r="X85" i="4"/>
  <c r="Y85" i="4"/>
  <c r="Z85" i="4"/>
  <c r="AA85" i="4"/>
  <c r="AB85" i="4"/>
  <c r="AC85" i="4"/>
  <c r="AD85" i="4"/>
  <c r="AE85" i="4"/>
  <c r="G86" i="4"/>
  <c r="H86" i="4"/>
  <c r="I86" i="4"/>
  <c r="J86" i="4"/>
  <c r="K86" i="4"/>
  <c r="L86" i="4"/>
  <c r="M86" i="4"/>
  <c r="N86" i="4"/>
  <c r="O86" i="4"/>
  <c r="P86" i="4"/>
  <c r="Q86" i="4"/>
  <c r="R86" i="4"/>
  <c r="S86" i="4"/>
  <c r="T86" i="4"/>
  <c r="U86" i="4"/>
  <c r="V86" i="4"/>
  <c r="W86" i="4"/>
  <c r="X86" i="4"/>
  <c r="Y86" i="4"/>
  <c r="Z86" i="4"/>
  <c r="AA86" i="4"/>
  <c r="AB86" i="4"/>
  <c r="AC86" i="4"/>
  <c r="AD86" i="4"/>
  <c r="AE86" i="4"/>
  <c r="G87" i="4"/>
  <c r="H87" i="4"/>
  <c r="I87" i="4"/>
  <c r="J87" i="4"/>
  <c r="K87" i="4"/>
  <c r="L87" i="4"/>
  <c r="M87" i="4"/>
  <c r="N87" i="4"/>
  <c r="O87" i="4"/>
  <c r="P87" i="4"/>
  <c r="Q87" i="4"/>
  <c r="R87" i="4"/>
  <c r="S87" i="4"/>
  <c r="T87" i="4"/>
  <c r="U87" i="4"/>
  <c r="V87" i="4"/>
  <c r="W87" i="4"/>
  <c r="X87" i="4"/>
  <c r="Y87" i="4"/>
  <c r="Z87" i="4"/>
  <c r="AA87" i="4"/>
  <c r="AB87" i="4"/>
  <c r="AC87" i="4"/>
  <c r="AD87" i="4"/>
  <c r="AE87" i="4"/>
  <c r="G88" i="4"/>
  <c r="H88" i="4"/>
  <c r="I88" i="4"/>
  <c r="J88" i="4"/>
  <c r="K88" i="4"/>
  <c r="L88" i="4"/>
  <c r="M88" i="4"/>
  <c r="N88" i="4"/>
  <c r="O88" i="4"/>
  <c r="P88" i="4"/>
  <c r="Q88" i="4"/>
  <c r="R88" i="4"/>
  <c r="S88" i="4"/>
  <c r="T88" i="4"/>
  <c r="U88" i="4"/>
  <c r="V88" i="4"/>
  <c r="W88" i="4"/>
  <c r="X88" i="4"/>
  <c r="Y88" i="4"/>
  <c r="Z88" i="4"/>
  <c r="AA88" i="4"/>
  <c r="AB88" i="4"/>
  <c r="AC88" i="4"/>
  <c r="AD88" i="4"/>
  <c r="AE88" i="4"/>
  <c r="G89" i="4"/>
  <c r="H89" i="4"/>
  <c r="I89" i="4"/>
  <c r="J89" i="4"/>
  <c r="K89" i="4"/>
  <c r="L89" i="4"/>
  <c r="M89" i="4"/>
  <c r="N89" i="4"/>
  <c r="O89" i="4"/>
  <c r="P89" i="4"/>
  <c r="Q89" i="4"/>
  <c r="R89" i="4"/>
  <c r="S89" i="4"/>
  <c r="T89" i="4"/>
  <c r="U89" i="4"/>
  <c r="V89" i="4"/>
  <c r="W89" i="4"/>
  <c r="X89" i="4"/>
  <c r="Y89" i="4"/>
  <c r="Z89" i="4"/>
  <c r="AA89" i="4"/>
  <c r="AB89" i="4"/>
  <c r="AC89" i="4"/>
  <c r="AD89" i="4"/>
  <c r="AE89" i="4"/>
  <c r="L5" i="9" s="1"/>
  <c r="G90" i="4"/>
  <c r="H90" i="4"/>
  <c r="I90" i="4"/>
  <c r="J90" i="4"/>
  <c r="K90" i="4"/>
  <c r="L90" i="4"/>
  <c r="M90" i="4"/>
  <c r="N90" i="4"/>
  <c r="O90" i="4"/>
  <c r="P90" i="4"/>
  <c r="Q90" i="4"/>
  <c r="K6" i="9" s="1"/>
  <c r="R90" i="4"/>
  <c r="S90" i="4"/>
  <c r="T90" i="4"/>
  <c r="U90" i="4"/>
  <c r="V90" i="4"/>
  <c r="W90" i="4"/>
  <c r="X90" i="4"/>
  <c r="Y90" i="4"/>
  <c r="J6" i="9" s="1"/>
  <c r="Z90" i="4"/>
  <c r="AA90" i="4"/>
  <c r="AB90" i="4"/>
  <c r="AC90" i="4"/>
  <c r="AD90" i="4"/>
  <c r="AE90" i="4"/>
  <c r="C5" i="9" s="1"/>
  <c r="D5" i="9" s="1"/>
  <c r="G91" i="4"/>
  <c r="H91" i="4"/>
  <c r="I91" i="4"/>
  <c r="J91" i="4"/>
  <c r="K91" i="4"/>
  <c r="L91" i="4"/>
  <c r="M91" i="4"/>
  <c r="N91" i="4"/>
  <c r="O91" i="4"/>
  <c r="P91" i="4"/>
  <c r="Q91" i="4"/>
  <c r="K7" i="9" s="1"/>
  <c r="R91" i="4"/>
  <c r="S91" i="4"/>
  <c r="T91" i="4"/>
  <c r="U91" i="4"/>
  <c r="V91" i="4"/>
  <c r="W91" i="4"/>
  <c r="X91" i="4"/>
  <c r="Y91" i="4"/>
  <c r="J7" i="9" s="1"/>
  <c r="Z91" i="4"/>
  <c r="AA91" i="4"/>
  <c r="AB91" i="4"/>
  <c r="AC91" i="4"/>
  <c r="AD91" i="4"/>
  <c r="AE91" i="4"/>
  <c r="L7" i="9" s="1"/>
  <c r="G92" i="4"/>
  <c r="H92" i="4"/>
  <c r="I92" i="4"/>
  <c r="J92" i="4"/>
  <c r="K92" i="4"/>
  <c r="L92" i="4"/>
  <c r="M92" i="4"/>
  <c r="N92" i="4"/>
  <c r="O92" i="4"/>
  <c r="P92" i="4"/>
  <c r="Q92" i="4"/>
  <c r="R92" i="4"/>
  <c r="S92" i="4"/>
  <c r="T92" i="4"/>
  <c r="U92" i="4"/>
  <c r="V92" i="4"/>
  <c r="W92" i="4"/>
  <c r="X92" i="4"/>
  <c r="Y92" i="4"/>
  <c r="Z92" i="4"/>
  <c r="AA92" i="4"/>
  <c r="AB92" i="4"/>
  <c r="AC92" i="4"/>
  <c r="AD92" i="4"/>
  <c r="AE92" i="4"/>
  <c r="G93" i="4"/>
  <c r="H93" i="4"/>
  <c r="I93" i="4"/>
  <c r="J93" i="4"/>
  <c r="K93" i="4"/>
  <c r="L93" i="4"/>
  <c r="M93" i="4"/>
  <c r="N93" i="4"/>
  <c r="O93" i="4"/>
  <c r="P93" i="4"/>
  <c r="Q93" i="4"/>
  <c r="R93" i="4"/>
  <c r="S93" i="4"/>
  <c r="T93" i="4"/>
  <c r="U93" i="4"/>
  <c r="V93" i="4"/>
  <c r="W93" i="4"/>
  <c r="X93" i="4"/>
  <c r="Y93" i="4"/>
  <c r="Z93" i="4"/>
  <c r="AA93" i="4"/>
  <c r="AB93" i="4"/>
  <c r="AC93" i="4"/>
  <c r="AD93" i="4"/>
  <c r="AE93" i="4"/>
  <c r="G94" i="4"/>
  <c r="H94" i="4"/>
  <c r="I94" i="4"/>
  <c r="J94" i="4"/>
  <c r="K94" i="4"/>
  <c r="L94" i="4"/>
  <c r="M94" i="4"/>
  <c r="N94" i="4"/>
  <c r="O94" i="4"/>
  <c r="P94" i="4"/>
  <c r="Q94" i="4"/>
  <c r="R94" i="4"/>
  <c r="S94" i="4"/>
  <c r="T94" i="4"/>
  <c r="U94" i="4"/>
  <c r="V94" i="4"/>
  <c r="W94" i="4"/>
  <c r="X94" i="4"/>
  <c r="Y94" i="4"/>
  <c r="Z94" i="4"/>
  <c r="AA94" i="4"/>
  <c r="AB94" i="4"/>
  <c r="AC94" i="4"/>
  <c r="AD94" i="4"/>
  <c r="AE94" i="4"/>
  <c r="G95" i="4"/>
  <c r="H95" i="4"/>
  <c r="I95" i="4"/>
  <c r="J95" i="4"/>
  <c r="K95" i="4"/>
  <c r="L95" i="4"/>
  <c r="M95" i="4"/>
  <c r="N95" i="4"/>
  <c r="O95" i="4"/>
  <c r="P95" i="4"/>
  <c r="Q95" i="4"/>
  <c r="R95" i="4"/>
  <c r="S95" i="4"/>
  <c r="T95" i="4"/>
  <c r="U95" i="4"/>
  <c r="V95" i="4"/>
  <c r="W95" i="4"/>
  <c r="X95" i="4"/>
  <c r="Y95" i="4"/>
  <c r="Z95" i="4"/>
  <c r="AA95" i="4"/>
  <c r="AB95" i="4"/>
  <c r="AC95" i="4"/>
  <c r="AD95" i="4"/>
  <c r="AE95" i="4"/>
  <c r="G96" i="4"/>
  <c r="H96" i="4"/>
  <c r="I96" i="4"/>
  <c r="J96" i="4"/>
  <c r="K96" i="4"/>
  <c r="L96" i="4"/>
  <c r="M96" i="4"/>
  <c r="N96" i="4"/>
  <c r="O96" i="4"/>
  <c r="P96" i="4"/>
  <c r="Q96" i="4"/>
  <c r="R96" i="4"/>
  <c r="S96" i="4"/>
  <c r="T96" i="4"/>
  <c r="U96" i="4"/>
  <c r="V96" i="4"/>
  <c r="W96" i="4"/>
  <c r="X96" i="4"/>
  <c r="Y96" i="4"/>
  <c r="Z96" i="4"/>
  <c r="AA96" i="4"/>
  <c r="AB96" i="4"/>
  <c r="AC96" i="4"/>
  <c r="AD96" i="4"/>
  <c r="AE96" i="4"/>
  <c r="G97" i="4"/>
  <c r="H97" i="4"/>
  <c r="I97" i="4"/>
  <c r="J97" i="4"/>
  <c r="K97" i="4"/>
  <c r="L97" i="4"/>
  <c r="M97" i="4"/>
  <c r="N97" i="4"/>
  <c r="O97" i="4"/>
  <c r="P97" i="4"/>
  <c r="Q97" i="4"/>
  <c r="R97" i="4"/>
  <c r="S97" i="4"/>
  <c r="T97" i="4"/>
  <c r="U97" i="4"/>
  <c r="V97" i="4"/>
  <c r="W97" i="4"/>
  <c r="X97" i="4"/>
  <c r="Y97" i="4"/>
  <c r="Z97" i="4"/>
  <c r="AA97" i="4"/>
  <c r="AB97" i="4"/>
  <c r="AC97" i="4"/>
  <c r="AD97" i="4"/>
  <c r="AE97" i="4"/>
  <c r="G98" i="4"/>
  <c r="H98" i="4"/>
  <c r="I98" i="4"/>
  <c r="J98" i="4"/>
  <c r="K98" i="4"/>
  <c r="L98" i="4"/>
  <c r="M98" i="4"/>
  <c r="N98" i="4"/>
  <c r="O98" i="4"/>
  <c r="P98" i="4"/>
  <c r="Q98" i="4"/>
  <c r="R98" i="4"/>
  <c r="S98" i="4"/>
  <c r="T98" i="4"/>
  <c r="U98" i="4"/>
  <c r="V98" i="4"/>
  <c r="W98" i="4"/>
  <c r="X98" i="4"/>
  <c r="Y98" i="4"/>
  <c r="Z98" i="4"/>
  <c r="AA98" i="4"/>
  <c r="AB98" i="4"/>
  <c r="AC98" i="4"/>
  <c r="AD98" i="4"/>
  <c r="AE98" i="4"/>
  <c r="G99" i="4"/>
  <c r="H99" i="4"/>
  <c r="I99" i="4"/>
  <c r="J99" i="4"/>
  <c r="K99" i="4"/>
  <c r="L99" i="4"/>
  <c r="M99" i="4"/>
  <c r="N99" i="4"/>
  <c r="O99" i="4"/>
  <c r="P99" i="4"/>
  <c r="Q99" i="4"/>
  <c r="R99" i="4"/>
  <c r="S99" i="4"/>
  <c r="T99" i="4"/>
  <c r="U99" i="4"/>
  <c r="V99" i="4"/>
  <c r="W99" i="4"/>
  <c r="X99" i="4"/>
  <c r="Y99" i="4"/>
  <c r="Z99" i="4"/>
  <c r="AA99" i="4"/>
  <c r="AB99" i="4"/>
  <c r="AC99" i="4"/>
  <c r="AD99" i="4"/>
  <c r="AE99" i="4"/>
  <c r="G100" i="4"/>
  <c r="H100" i="4"/>
  <c r="I100" i="4"/>
  <c r="J100" i="4"/>
  <c r="K100" i="4"/>
  <c r="L100" i="4"/>
  <c r="M100" i="4"/>
  <c r="N100" i="4"/>
  <c r="O100" i="4"/>
  <c r="P100" i="4"/>
  <c r="Q100" i="4"/>
  <c r="R100" i="4"/>
  <c r="S100" i="4"/>
  <c r="T100" i="4"/>
  <c r="U100" i="4"/>
  <c r="V100" i="4"/>
  <c r="W100" i="4"/>
  <c r="X100" i="4"/>
  <c r="Y100" i="4"/>
  <c r="Z100" i="4"/>
  <c r="AA100" i="4"/>
  <c r="AB100" i="4"/>
  <c r="AC100" i="4"/>
  <c r="AD100" i="4"/>
  <c r="AE100" i="4"/>
  <c r="G101" i="4"/>
  <c r="H101" i="4"/>
  <c r="I101" i="4"/>
  <c r="J101" i="4"/>
  <c r="K101" i="4"/>
  <c r="L101" i="4"/>
  <c r="M101" i="4"/>
  <c r="N101" i="4"/>
  <c r="O101" i="4"/>
  <c r="P101" i="4"/>
  <c r="Q101" i="4"/>
  <c r="R101" i="4"/>
  <c r="S101" i="4"/>
  <c r="T101" i="4"/>
  <c r="U101" i="4"/>
  <c r="V101" i="4"/>
  <c r="W101" i="4"/>
  <c r="X101" i="4"/>
  <c r="Y101" i="4"/>
  <c r="Z101" i="4"/>
  <c r="AA101" i="4"/>
  <c r="AB101" i="4"/>
  <c r="AC101" i="4"/>
  <c r="AD101" i="4"/>
  <c r="AE101" i="4"/>
  <c r="G102" i="4"/>
  <c r="H102" i="4"/>
  <c r="I102" i="4"/>
  <c r="J102" i="4"/>
  <c r="K102" i="4"/>
  <c r="L102" i="4"/>
  <c r="M102" i="4"/>
  <c r="N102" i="4"/>
  <c r="O102" i="4"/>
  <c r="P102" i="4"/>
  <c r="Q102" i="4"/>
  <c r="R102" i="4"/>
  <c r="S102" i="4"/>
  <c r="T102" i="4"/>
  <c r="U102" i="4"/>
  <c r="V102" i="4"/>
  <c r="W102" i="4"/>
  <c r="X102" i="4"/>
  <c r="Y102" i="4"/>
  <c r="Z102" i="4"/>
  <c r="AA102" i="4"/>
  <c r="AB102" i="4"/>
  <c r="AC102" i="4"/>
  <c r="AD102" i="4"/>
  <c r="AE102" i="4"/>
  <c r="G103" i="4"/>
  <c r="H103" i="4"/>
  <c r="I103" i="4"/>
  <c r="J103" i="4"/>
  <c r="K103" i="4"/>
  <c r="L103" i="4"/>
  <c r="M103" i="4"/>
  <c r="N103" i="4"/>
  <c r="O103" i="4"/>
  <c r="P103" i="4"/>
  <c r="Q103" i="4"/>
  <c r="R103" i="4"/>
  <c r="S103" i="4"/>
  <c r="T103" i="4"/>
  <c r="U103" i="4"/>
  <c r="V103" i="4"/>
  <c r="W103" i="4"/>
  <c r="X103" i="4"/>
  <c r="Y103" i="4"/>
  <c r="Z103" i="4"/>
  <c r="AA103" i="4"/>
  <c r="AB103" i="4"/>
  <c r="AC103" i="4"/>
  <c r="AD103" i="4"/>
  <c r="AE103" i="4"/>
  <c r="G104" i="4"/>
  <c r="H104" i="4"/>
  <c r="I104" i="4"/>
  <c r="J104" i="4"/>
  <c r="K104" i="4"/>
  <c r="L104" i="4"/>
  <c r="M104" i="4"/>
  <c r="N104" i="4"/>
  <c r="O104" i="4"/>
  <c r="P104" i="4"/>
  <c r="Q104" i="4"/>
  <c r="R104" i="4"/>
  <c r="S104" i="4"/>
  <c r="T104" i="4"/>
  <c r="U104" i="4"/>
  <c r="V104" i="4"/>
  <c r="W104" i="4"/>
  <c r="X104" i="4"/>
  <c r="Y104" i="4"/>
  <c r="Z104" i="4"/>
  <c r="AA104" i="4"/>
  <c r="AB104" i="4"/>
  <c r="AC104" i="4"/>
  <c r="AD104" i="4"/>
  <c r="AE104" i="4"/>
  <c r="G105" i="4"/>
  <c r="H105" i="4"/>
  <c r="I105" i="4"/>
  <c r="J105" i="4"/>
  <c r="K105" i="4"/>
  <c r="L105" i="4"/>
  <c r="M105" i="4"/>
  <c r="N105" i="4"/>
  <c r="O105" i="4"/>
  <c r="P105" i="4"/>
  <c r="Q105" i="4"/>
  <c r="R105" i="4"/>
  <c r="S105" i="4"/>
  <c r="T105" i="4"/>
  <c r="U105" i="4"/>
  <c r="V105" i="4"/>
  <c r="W105" i="4"/>
  <c r="X105" i="4"/>
  <c r="Y105" i="4"/>
  <c r="Z105" i="4"/>
  <c r="AA105" i="4"/>
  <c r="AB105" i="4"/>
  <c r="AC105" i="4"/>
  <c r="AD105" i="4"/>
  <c r="AE105" i="4"/>
  <c r="G106" i="4"/>
  <c r="H106" i="4"/>
  <c r="I106" i="4"/>
  <c r="J106" i="4"/>
  <c r="K106" i="4"/>
  <c r="L106" i="4"/>
  <c r="M106" i="4"/>
  <c r="N106" i="4"/>
  <c r="O106" i="4"/>
  <c r="P106" i="4"/>
  <c r="Q106" i="4"/>
  <c r="R106" i="4"/>
  <c r="S106" i="4"/>
  <c r="T106" i="4"/>
  <c r="U106" i="4"/>
  <c r="V106" i="4"/>
  <c r="W106" i="4"/>
  <c r="X106" i="4"/>
  <c r="Y106" i="4"/>
  <c r="Z106" i="4"/>
  <c r="AA106" i="4"/>
  <c r="AB106" i="4"/>
  <c r="AC106" i="4"/>
  <c r="AD106" i="4"/>
  <c r="AE106" i="4"/>
  <c r="G107" i="4"/>
  <c r="H107" i="4"/>
  <c r="I107" i="4"/>
  <c r="J107" i="4"/>
  <c r="K107" i="4"/>
  <c r="L107" i="4"/>
  <c r="M107" i="4"/>
  <c r="N107" i="4"/>
  <c r="O107" i="4"/>
  <c r="P107" i="4"/>
  <c r="Q107" i="4"/>
  <c r="R107" i="4"/>
  <c r="S107" i="4"/>
  <c r="T107" i="4"/>
  <c r="U107" i="4"/>
  <c r="V107" i="4"/>
  <c r="W107" i="4"/>
  <c r="X107" i="4"/>
  <c r="Y107" i="4"/>
  <c r="Z107" i="4"/>
  <c r="AA107" i="4"/>
  <c r="AB107" i="4"/>
  <c r="AC107" i="4"/>
  <c r="AD107" i="4"/>
  <c r="AE107" i="4"/>
  <c r="G108" i="4"/>
  <c r="H108" i="4"/>
  <c r="I108" i="4"/>
  <c r="J108" i="4"/>
  <c r="K108" i="4"/>
  <c r="L108" i="4"/>
  <c r="M108" i="4"/>
  <c r="N108" i="4"/>
  <c r="O108" i="4"/>
  <c r="P108" i="4"/>
  <c r="Q108" i="4"/>
  <c r="R108" i="4"/>
  <c r="S108" i="4"/>
  <c r="T108" i="4"/>
  <c r="U108" i="4"/>
  <c r="V108" i="4"/>
  <c r="W108" i="4"/>
  <c r="X108" i="4"/>
  <c r="Y108" i="4"/>
  <c r="Z108" i="4"/>
  <c r="AA108" i="4"/>
  <c r="AB108" i="4"/>
  <c r="AC108" i="4"/>
  <c r="AD108" i="4"/>
  <c r="AE108" i="4"/>
  <c r="G109" i="4"/>
  <c r="H109" i="4"/>
  <c r="I109" i="4"/>
  <c r="J109" i="4"/>
  <c r="K109" i="4"/>
  <c r="L109" i="4"/>
  <c r="M109" i="4"/>
  <c r="N109" i="4"/>
  <c r="O109" i="4"/>
  <c r="P109" i="4"/>
  <c r="Q109" i="4"/>
  <c r="R109" i="4"/>
  <c r="S109" i="4"/>
  <c r="T109" i="4"/>
  <c r="U109" i="4"/>
  <c r="V109" i="4"/>
  <c r="W109" i="4"/>
  <c r="X109" i="4"/>
  <c r="Y109" i="4"/>
  <c r="Z109" i="4"/>
  <c r="AA109" i="4"/>
  <c r="AB109" i="4"/>
  <c r="AC109" i="4"/>
  <c r="AD109" i="4"/>
  <c r="AE109" i="4"/>
  <c r="G110" i="4"/>
  <c r="H110" i="4"/>
  <c r="I110" i="4"/>
  <c r="J110" i="4"/>
  <c r="K110" i="4"/>
  <c r="L110" i="4"/>
  <c r="M110" i="4"/>
  <c r="N110" i="4"/>
  <c r="O110" i="4"/>
  <c r="P110" i="4"/>
  <c r="Q110" i="4"/>
  <c r="R110" i="4"/>
  <c r="S110" i="4"/>
  <c r="T110" i="4"/>
  <c r="U110" i="4"/>
  <c r="V110" i="4"/>
  <c r="W110" i="4"/>
  <c r="X110" i="4"/>
  <c r="Y110" i="4"/>
  <c r="Z110" i="4"/>
  <c r="AA110" i="4"/>
  <c r="AB110" i="4"/>
  <c r="AC110" i="4"/>
  <c r="AD110" i="4"/>
  <c r="AE110" i="4"/>
  <c r="G111" i="4"/>
  <c r="H111" i="4"/>
  <c r="I111" i="4"/>
  <c r="J111" i="4"/>
  <c r="K111" i="4"/>
  <c r="L111" i="4"/>
  <c r="M111" i="4"/>
  <c r="N111" i="4"/>
  <c r="O111" i="4"/>
  <c r="P111" i="4"/>
  <c r="Q111" i="4"/>
  <c r="R111" i="4"/>
  <c r="S111" i="4"/>
  <c r="T111" i="4"/>
  <c r="U111" i="4"/>
  <c r="V111" i="4"/>
  <c r="W111" i="4"/>
  <c r="X111" i="4"/>
  <c r="Y111" i="4"/>
  <c r="Z111" i="4"/>
  <c r="AA111" i="4"/>
  <c r="AB111" i="4"/>
  <c r="AC111" i="4"/>
  <c r="AD111" i="4"/>
  <c r="AE111" i="4"/>
  <c r="G112" i="4"/>
  <c r="H112" i="4"/>
  <c r="I112" i="4"/>
  <c r="J112" i="4"/>
  <c r="K112" i="4"/>
  <c r="L112" i="4"/>
  <c r="M112" i="4"/>
  <c r="N112" i="4"/>
  <c r="O112" i="4"/>
  <c r="P112" i="4"/>
  <c r="Q112" i="4"/>
  <c r="R112" i="4"/>
  <c r="S112" i="4"/>
  <c r="T112" i="4"/>
  <c r="U112" i="4"/>
  <c r="V112" i="4"/>
  <c r="W112" i="4"/>
  <c r="X112" i="4"/>
  <c r="Y112" i="4"/>
  <c r="Z112" i="4"/>
  <c r="AA112" i="4"/>
  <c r="AB112" i="4"/>
  <c r="AC112" i="4"/>
  <c r="AD112" i="4"/>
  <c r="AE112" i="4"/>
  <c r="G113" i="4"/>
  <c r="H113" i="4"/>
  <c r="I113" i="4"/>
  <c r="J113" i="4"/>
  <c r="K113" i="4"/>
  <c r="L113" i="4"/>
  <c r="M113" i="4"/>
  <c r="N113" i="4"/>
  <c r="O113" i="4"/>
  <c r="P113" i="4"/>
  <c r="Q113" i="4"/>
  <c r="R113" i="4"/>
  <c r="S113" i="4"/>
  <c r="T113" i="4"/>
  <c r="U113" i="4"/>
  <c r="V113" i="4"/>
  <c r="W113" i="4"/>
  <c r="X113" i="4"/>
  <c r="Y113" i="4"/>
  <c r="Z113" i="4"/>
  <c r="AA113" i="4"/>
  <c r="AB113" i="4"/>
  <c r="AC113" i="4"/>
  <c r="AD113" i="4"/>
  <c r="AE113" i="4"/>
  <c r="G114" i="4"/>
  <c r="H114" i="4"/>
  <c r="I114" i="4"/>
  <c r="J114" i="4"/>
  <c r="K114" i="4"/>
  <c r="L114" i="4"/>
  <c r="M114" i="4"/>
  <c r="N114" i="4"/>
  <c r="O114" i="4"/>
  <c r="P114" i="4"/>
  <c r="Q114" i="4"/>
  <c r="R114" i="4"/>
  <c r="S114" i="4"/>
  <c r="T114" i="4"/>
  <c r="U114" i="4"/>
  <c r="V114" i="4"/>
  <c r="W114" i="4"/>
  <c r="X114" i="4"/>
  <c r="Y114" i="4"/>
  <c r="Z114" i="4"/>
  <c r="AA114" i="4"/>
  <c r="AB114" i="4"/>
  <c r="AC114" i="4"/>
  <c r="AD114" i="4"/>
  <c r="AE114" i="4"/>
  <c r="G115" i="4"/>
  <c r="H115" i="4"/>
  <c r="I115" i="4"/>
  <c r="J115" i="4"/>
  <c r="K115" i="4"/>
  <c r="L115" i="4"/>
  <c r="M115" i="4"/>
  <c r="N115" i="4"/>
  <c r="O115" i="4"/>
  <c r="P115" i="4"/>
  <c r="Q115" i="4"/>
  <c r="R115" i="4"/>
  <c r="S115" i="4"/>
  <c r="T115" i="4"/>
  <c r="U115" i="4"/>
  <c r="V115" i="4"/>
  <c r="W115" i="4"/>
  <c r="X115" i="4"/>
  <c r="Y115" i="4"/>
  <c r="Z115" i="4"/>
  <c r="AA115" i="4"/>
  <c r="AB115" i="4"/>
  <c r="AC115" i="4"/>
  <c r="AD115" i="4"/>
  <c r="AE115" i="4"/>
  <c r="G116" i="4"/>
  <c r="H116" i="4"/>
  <c r="I116" i="4"/>
  <c r="J116" i="4"/>
  <c r="K116" i="4"/>
  <c r="L116" i="4"/>
  <c r="M116" i="4"/>
  <c r="N116" i="4"/>
  <c r="O116" i="4"/>
  <c r="P116" i="4"/>
  <c r="Q116" i="4"/>
  <c r="R116" i="4"/>
  <c r="S116" i="4"/>
  <c r="T116" i="4"/>
  <c r="U116" i="4"/>
  <c r="V116" i="4"/>
  <c r="W116" i="4"/>
  <c r="X116" i="4"/>
  <c r="Y116" i="4"/>
  <c r="Z116" i="4"/>
  <c r="AA116" i="4"/>
  <c r="AB116" i="4"/>
  <c r="AC116" i="4"/>
  <c r="AD116" i="4"/>
  <c r="AE116" i="4"/>
  <c r="G117" i="4"/>
  <c r="H117" i="4"/>
  <c r="I117" i="4"/>
  <c r="J117" i="4"/>
  <c r="K117" i="4"/>
  <c r="L117" i="4"/>
  <c r="M117" i="4"/>
  <c r="N117" i="4"/>
  <c r="O117" i="4"/>
  <c r="P117" i="4"/>
  <c r="Q117" i="4"/>
  <c r="R117" i="4"/>
  <c r="S117" i="4"/>
  <c r="T117" i="4"/>
  <c r="U117" i="4"/>
  <c r="V117" i="4"/>
  <c r="W117" i="4"/>
  <c r="X117" i="4"/>
  <c r="Y117" i="4"/>
  <c r="Z117" i="4"/>
  <c r="AA117" i="4"/>
  <c r="AB117" i="4"/>
  <c r="AC117" i="4"/>
  <c r="AD117" i="4"/>
  <c r="AE117" i="4"/>
  <c r="G118" i="4"/>
  <c r="H118" i="4"/>
  <c r="I118" i="4"/>
  <c r="J118" i="4"/>
  <c r="K118" i="4"/>
  <c r="L118" i="4"/>
  <c r="M118" i="4"/>
  <c r="N118" i="4"/>
  <c r="O118" i="4"/>
  <c r="P118" i="4"/>
  <c r="Q118" i="4"/>
  <c r="R118" i="4"/>
  <c r="S118" i="4"/>
  <c r="T118" i="4"/>
  <c r="U118" i="4"/>
  <c r="V118" i="4"/>
  <c r="W118" i="4"/>
  <c r="X118" i="4"/>
  <c r="Y118" i="4"/>
  <c r="Z118" i="4"/>
  <c r="AA118" i="4"/>
  <c r="AB118" i="4"/>
  <c r="AC118" i="4"/>
  <c r="AD118" i="4"/>
  <c r="AE118" i="4"/>
  <c r="G119" i="4"/>
  <c r="H119" i="4"/>
  <c r="I119" i="4"/>
  <c r="J119" i="4"/>
  <c r="K119" i="4"/>
  <c r="L119" i="4"/>
  <c r="M119" i="4"/>
  <c r="N119" i="4"/>
  <c r="O119" i="4"/>
  <c r="P119" i="4"/>
  <c r="Q119" i="4"/>
  <c r="R119" i="4"/>
  <c r="S119" i="4"/>
  <c r="T119" i="4"/>
  <c r="U119" i="4"/>
  <c r="V119" i="4"/>
  <c r="W119" i="4"/>
  <c r="X119" i="4"/>
  <c r="Y119" i="4"/>
  <c r="Z119" i="4"/>
  <c r="AA119" i="4"/>
  <c r="AB119" i="4"/>
  <c r="AC119" i="4"/>
  <c r="AD119" i="4"/>
  <c r="AE119" i="4"/>
  <c r="G120" i="4"/>
  <c r="H120" i="4"/>
  <c r="I120" i="4"/>
  <c r="J120" i="4"/>
  <c r="K120" i="4"/>
  <c r="L120" i="4"/>
  <c r="M120" i="4"/>
  <c r="N120" i="4"/>
  <c r="O120" i="4"/>
  <c r="P120" i="4"/>
  <c r="Q120" i="4"/>
  <c r="R120" i="4"/>
  <c r="S120" i="4"/>
  <c r="T120" i="4"/>
  <c r="U120" i="4"/>
  <c r="V120" i="4"/>
  <c r="W120" i="4"/>
  <c r="X120" i="4"/>
  <c r="Y120" i="4"/>
  <c r="Z120" i="4"/>
  <c r="AA120" i="4"/>
  <c r="AB120" i="4"/>
  <c r="AC120" i="4"/>
  <c r="AD120" i="4"/>
  <c r="AE120" i="4"/>
  <c r="G121" i="4"/>
  <c r="H121" i="4"/>
  <c r="I121" i="4"/>
  <c r="J121" i="4"/>
  <c r="K121" i="4"/>
  <c r="L121" i="4"/>
  <c r="M121" i="4"/>
  <c r="N121" i="4"/>
  <c r="O121" i="4"/>
  <c r="P121" i="4"/>
  <c r="Q121" i="4"/>
  <c r="R121" i="4"/>
  <c r="S121" i="4"/>
  <c r="T121" i="4"/>
  <c r="U121" i="4"/>
  <c r="V121" i="4"/>
  <c r="W121" i="4"/>
  <c r="X121" i="4"/>
  <c r="Y121" i="4"/>
  <c r="Z121" i="4"/>
  <c r="AA121" i="4"/>
  <c r="AB121" i="4"/>
  <c r="AC121" i="4"/>
  <c r="AD121" i="4"/>
  <c r="AE121" i="4"/>
  <c r="G122" i="4"/>
  <c r="H122" i="4"/>
  <c r="I122" i="4"/>
  <c r="J122" i="4"/>
  <c r="K122" i="4"/>
  <c r="L122" i="4"/>
  <c r="M122" i="4"/>
  <c r="N122" i="4"/>
  <c r="O122" i="4"/>
  <c r="P122" i="4"/>
  <c r="Q122" i="4"/>
  <c r="R122" i="4"/>
  <c r="S122" i="4"/>
  <c r="T122" i="4"/>
  <c r="U122" i="4"/>
  <c r="V122" i="4"/>
  <c r="W122" i="4"/>
  <c r="X122" i="4"/>
  <c r="Y122" i="4"/>
  <c r="Z122" i="4"/>
  <c r="AA122" i="4"/>
  <c r="AB122" i="4"/>
  <c r="AC122" i="4"/>
  <c r="AD122" i="4"/>
  <c r="AE122" i="4"/>
  <c r="G123" i="4"/>
  <c r="H123" i="4"/>
  <c r="I123" i="4"/>
  <c r="J123" i="4"/>
  <c r="K123" i="4"/>
  <c r="L123" i="4"/>
  <c r="M123" i="4"/>
  <c r="N123" i="4"/>
  <c r="O123" i="4"/>
  <c r="P123" i="4"/>
  <c r="Q123" i="4"/>
  <c r="R123" i="4"/>
  <c r="S123" i="4"/>
  <c r="T123" i="4"/>
  <c r="U123" i="4"/>
  <c r="V123" i="4"/>
  <c r="W123" i="4"/>
  <c r="X123" i="4"/>
  <c r="Y123" i="4"/>
  <c r="Z123" i="4"/>
  <c r="AA123" i="4"/>
  <c r="AB123" i="4"/>
  <c r="AC123" i="4"/>
  <c r="AD123" i="4"/>
  <c r="AE123" i="4"/>
  <c r="G124" i="4"/>
  <c r="H124" i="4"/>
  <c r="I124" i="4"/>
  <c r="J124" i="4"/>
  <c r="K124" i="4"/>
  <c r="L124" i="4"/>
  <c r="M124" i="4"/>
  <c r="N124" i="4"/>
  <c r="O124" i="4"/>
  <c r="P124" i="4"/>
  <c r="Q124" i="4"/>
  <c r="R124" i="4"/>
  <c r="S124" i="4"/>
  <c r="T124" i="4"/>
  <c r="U124" i="4"/>
  <c r="V124" i="4"/>
  <c r="W124" i="4"/>
  <c r="X124" i="4"/>
  <c r="Y124" i="4"/>
  <c r="Z124" i="4"/>
  <c r="AA124" i="4"/>
  <c r="AB124" i="4"/>
  <c r="AC124" i="4"/>
  <c r="AD124" i="4"/>
  <c r="AE124" i="4"/>
  <c r="G125" i="4"/>
  <c r="H125" i="4"/>
  <c r="I125" i="4"/>
  <c r="J125" i="4"/>
  <c r="K125" i="4"/>
  <c r="L125" i="4"/>
  <c r="M125" i="4"/>
  <c r="N125" i="4"/>
  <c r="O125" i="4"/>
  <c r="P125" i="4"/>
  <c r="Q125" i="4"/>
  <c r="R125" i="4"/>
  <c r="S125" i="4"/>
  <c r="T125" i="4"/>
  <c r="U125" i="4"/>
  <c r="V125" i="4"/>
  <c r="W125" i="4"/>
  <c r="X125" i="4"/>
  <c r="Y125" i="4"/>
  <c r="Z125" i="4"/>
  <c r="AA125" i="4"/>
  <c r="AB125" i="4"/>
  <c r="AC125" i="4"/>
  <c r="AD125" i="4"/>
  <c r="AE125" i="4"/>
  <c r="G126" i="4"/>
  <c r="H126" i="4"/>
  <c r="I126" i="4"/>
  <c r="J126" i="4"/>
  <c r="K126" i="4"/>
  <c r="L126" i="4"/>
  <c r="M126" i="4"/>
  <c r="N126" i="4"/>
  <c r="O126" i="4"/>
  <c r="P126" i="4"/>
  <c r="Q126" i="4"/>
  <c r="R126" i="4"/>
  <c r="S126" i="4"/>
  <c r="T126" i="4"/>
  <c r="U126" i="4"/>
  <c r="V126" i="4"/>
  <c r="W126" i="4"/>
  <c r="X126" i="4"/>
  <c r="Y126" i="4"/>
  <c r="Z126" i="4"/>
  <c r="AA126" i="4"/>
  <c r="AB126" i="4"/>
  <c r="AC126" i="4"/>
  <c r="AD126" i="4"/>
  <c r="AE12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3" i="4"/>
  <c r="A3" i="4"/>
  <c r="B3" i="4"/>
  <c r="C3" i="4"/>
  <c r="D3" i="4"/>
  <c r="A4" i="4"/>
  <c r="B4" i="4"/>
  <c r="C4" i="4"/>
  <c r="D4" i="4"/>
  <c r="A5" i="4"/>
  <c r="B5" i="4"/>
  <c r="C5" i="4"/>
  <c r="D5" i="4"/>
  <c r="A6" i="4"/>
  <c r="B6" i="4"/>
  <c r="C6" i="4"/>
  <c r="D6" i="4"/>
  <c r="A7" i="4"/>
  <c r="B7" i="4"/>
  <c r="C7" i="4"/>
  <c r="D7" i="4"/>
  <c r="A8" i="4"/>
  <c r="B8" i="4"/>
  <c r="C8" i="4"/>
  <c r="D8" i="4"/>
  <c r="A9" i="4"/>
  <c r="B9" i="4"/>
  <c r="C9" i="4"/>
  <c r="D9" i="4"/>
  <c r="A10" i="4"/>
  <c r="B10" i="4"/>
  <c r="C10" i="4"/>
  <c r="D10" i="4"/>
  <c r="A11" i="4"/>
  <c r="B11" i="4"/>
  <c r="C11" i="4"/>
  <c r="D11" i="4"/>
  <c r="A12" i="4"/>
  <c r="B12" i="4"/>
  <c r="C12" i="4"/>
  <c r="D12" i="4"/>
  <c r="A13" i="4"/>
  <c r="B13" i="4"/>
  <c r="C13" i="4"/>
  <c r="D13" i="4"/>
  <c r="A14" i="4"/>
  <c r="B14" i="4"/>
  <c r="C14" i="4"/>
  <c r="D14" i="4"/>
  <c r="A15" i="4"/>
  <c r="B15" i="4"/>
  <c r="C15" i="4"/>
  <c r="D15" i="4"/>
  <c r="A16" i="4"/>
  <c r="B16" i="4"/>
  <c r="C16" i="4"/>
  <c r="D16" i="4"/>
  <c r="A17" i="4"/>
  <c r="B17" i="4"/>
  <c r="C17" i="4"/>
  <c r="D17" i="4"/>
  <c r="A18" i="4"/>
  <c r="B18" i="4"/>
  <c r="C18" i="4"/>
  <c r="D18" i="4"/>
  <c r="A19" i="4"/>
  <c r="B19" i="4"/>
  <c r="C19" i="4"/>
  <c r="D19" i="4"/>
  <c r="A20" i="4"/>
  <c r="B20" i="4"/>
  <c r="C20" i="4"/>
  <c r="D20" i="4"/>
  <c r="A21" i="4"/>
  <c r="B21" i="4"/>
  <c r="C21" i="4"/>
  <c r="D21" i="4"/>
  <c r="A22" i="4"/>
  <c r="B22" i="4"/>
  <c r="C22" i="4"/>
  <c r="D22" i="4"/>
  <c r="A23" i="4"/>
  <c r="B23" i="4"/>
  <c r="C23" i="4"/>
  <c r="D23" i="4"/>
  <c r="A24" i="4"/>
  <c r="B24" i="4"/>
  <c r="C24" i="4"/>
  <c r="D24" i="4"/>
  <c r="A25" i="4"/>
  <c r="B25" i="4"/>
  <c r="C25" i="4"/>
  <c r="D25" i="4"/>
  <c r="A26" i="4"/>
  <c r="B26" i="4"/>
  <c r="C26" i="4"/>
  <c r="D26" i="4"/>
  <c r="A27" i="4"/>
  <c r="B27" i="4"/>
  <c r="C27" i="4"/>
  <c r="D27" i="4"/>
  <c r="A28" i="4"/>
  <c r="B28" i="4"/>
  <c r="C28" i="4"/>
  <c r="D28" i="4"/>
  <c r="A29" i="4"/>
  <c r="B29" i="4"/>
  <c r="C29" i="4"/>
  <c r="D29" i="4"/>
  <c r="A30" i="4"/>
  <c r="B30" i="4"/>
  <c r="C30" i="4"/>
  <c r="D30" i="4"/>
  <c r="A31" i="4"/>
  <c r="B31" i="4"/>
  <c r="C31" i="4"/>
  <c r="D31" i="4"/>
  <c r="A32" i="4"/>
  <c r="B32" i="4"/>
  <c r="C32" i="4"/>
  <c r="D32" i="4"/>
  <c r="A33" i="4"/>
  <c r="B33" i="4"/>
  <c r="C33" i="4"/>
  <c r="D33" i="4"/>
  <c r="A34" i="4"/>
  <c r="B34" i="4"/>
  <c r="C34" i="4"/>
  <c r="D34" i="4"/>
  <c r="A35" i="4"/>
  <c r="B35" i="4"/>
  <c r="C35" i="4"/>
  <c r="D35" i="4"/>
  <c r="A36" i="4"/>
  <c r="B36" i="4"/>
  <c r="C36" i="4"/>
  <c r="D36" i="4"/>
  <c r="A37" i="4"/>
  <c r="B37" i="4"/>
  <c r="C37" i="4"/>
  <c r="D37" i="4"/>
  <c r="A38" i="4"/>
  <c r="B38" i="4"/>
  <c r="C38" i="4"/>
  <c r="D38" i="4"/>
  <c r="A39" i="4"/>
  <c r="B39" i="4"/>
  <c r="C39" i="4"/>
  <c r="D39" i="4"/>
  <c r="A40" i="4"/>
  <c r="B40" i="4"/>
  <c r="C40" i="4"/>
  <c r="D40" i="4"/>
  <c r="A41" i="4"/>
  <c r="B41" i="4"/>
  <c r="C41" i="4"/>
  <c r="D41" i="4"/>
  <c r="A42" i="4"/>
  <c r="B42" i="4"/>
  <c r="C42" i="4"/>
  <c r="D42" i="4"/>
  <c r="A43" i="4"/>
  <c r="B43" i="4"/>
  <c r="C43" i="4"/>
  <c r="D43" i="4"/>
  <c r="A44" i="4"/>
  <c r="B44" i="4"/>
  <c r="C44" i="4"/>
  <c r="D44" i="4"/>
  <c r="A45" i="4"/>
  <c r="B45" i="4"/>
  <c r="C45" i="4"/>
  <c r="D45" i="4"/>
  <c r="A46" i="4"/>
  <c r="B46" i="4"/>
  <c r="C46" i="4"/>
  <c r="D46" i="4"/>
  <c r="A47" i="4"/>
  <c r="B47" i="4"/>
  <c r="C47" i="4"/>
  <c r="D47" i="4"/>
  <c r="A48" i="4"/>
  <c r="B48" i="4"/>
  <c r="C48" i="4"/>
  <c r="D48" i="4"/>
  <c r="A49" i="4"/>
  <c r="B49" i="4"/>
  <c r="C49" i="4"/>
  <c r="D49" i="4"/>
  <c r="A50" i="4"/>
  <c r="B50" i="4"/>
  <c r="C50" i="4"/>
  <c r="D50" i="4"/>
  <c r="A51" i="4"/>
  <c r="B51" i="4"/>
  <c r="C51" i="4"/>
  <c r="D51" i="4"/>
  <c r="A52" i="4"/>
  <c r="B52" i="4"/>
  <c r="C52" i="4"/>
  <c r="D52" i="4"/>
  <c r="A53" i="4"/>
  <c r="B53" i="4"/>
  <c r="C53" i="4"/>
  <c r="D53" i="4"/>
  <c r="A54" i="4"/>
  <c r="B54" i="4"/>
  <c r="C54" i="4"/>
  <c r="D54" i="4"/>
  <c r="A55" i="4"/>
  <c r="B55" i="4"/>
  <c r="C55" i="4"/>
  <c r="D55" i="4"/>
  <c r="A56" i="4"/>
  <c r="B56" i="4"/>
  <c r="C56" i="4"/>
  <c r="D56" i="4"/>
  <c r="A57" i="4"/>
  <c r="B57" i="4"/>
  <c r="C57" i="4"/>
  <c r="D57" i="4"/>
  <c r="A58" i="4"/>
  <c r="B58" i="4"/>
  <c r="C58" i="4"/>
  <c r="D58" i="4"/>
  <c r="A59" i="4"/>
  <c r="B59" i="4"/>
  <c r="C59" i="4"/>
  <c r="D59" i="4"/>
  <c r="A60" i="4"/>
  <c r="B60" i="4"/>
  <c r="C60" i="4"/>
  <c r="D60" i="4"/>
  <c r="A61" i="4"/>
  <c r="B61" i="4"/>
  <c r="C61" i="4"/>
  <c r="D61" i="4"/>
  <c r="A62" i="4"/>
  <c r="B62" i="4"/>
  <c r="C62" i="4"/>
  <c r="D62" i="4"/>
  <c r="A63" i="4"/>
  <c r="B63" i="4"/>
  <c r="C63" i="4"/>
  <c r="D63" i="4"/>
  <c r="A64" i="4"/>
  <c r="B64" i="4"/>
  <c r="C64" i="4"/>
  <c r="D64" i="4"/>
  <c r="A65" i="4"/>
  <c r="B65" i="4"/>
  <c r="C65" i="4"/>
  <c r="D65" i="4"/>
  <c r="A66" i="4"/>
  <c r="B66" i="4"/>
  <c r="C66" i="4"/>
  <c r="D66" i="4"/>
  <c r="A67" i="4"/>
  <c r="B67" i="4"/>
  <c r="C67" i="4"/>
  <c r="D67" i="4"/>
  <c r="A68" i="4"/>
  <c r="B68" i="4"/>
  <c r="C68" i="4"/>
  <c r="D68" i="4"/>
  <c r="A69" i="4"/>
  <c r="B69" i="4"/>
  <c r="C69" i="4"/>
  <c r="D69" i="4"/>
  <c r="A70" i="4"/>
  <c r="B70" i="4"/>
  <c r="C70" i="4"/>
  <c r="D70" i="4"/>
  <c r="A71" i="4"/>
  <c r="B71" i="4"/>
  <c r="C71" i="4"/>
  <c r="D71" i="4"/>
  <c r="A72" i="4"/>
  <c r="B72" i="4"/>
  <c r="C72" i="4"/>
  <c r="D72" i="4"/>
  <c r="A73" i="4"/>
  <c r="B73" i="4"/>
  <c r="C73" i="4"/>
  <c r="D73" i="4"/>
  <c r="A74" i="4"/>
  <c r="B74" i="4"/>
  <c r="C74" i="4"/>
  <c r="D74" i="4"/>
  <c r="A75" i="4"/>
  <c r="B75" i="4"/>
  <c r="C75" i="4"/>
  <c r="D75" i="4"/>
  <c r="A76" i="4"/>
  <c r="B76" i="4"/>
  <c r="C76" i="4"/>
  <c r="D76" i="4"/>
  <c r="A77" i="4"/>
  <c r="B77" i="4"/>
  <c r="C77" i="4"/>
  <c r="D77" i="4"/>
  <c r="A78" i="4"/>
  <c r="B78" i="4"/>
  <c r="C78" i="4"/>
  <c r="D78" i="4"/>
  <c r="A79" i="4"/>
  <c r="B79" i="4"/>
  <c r="C79" i="4"/>
  <c r="D79" i="4"/>
  <c r="A80" i="4"/>
  <c r="B80" i="4"/>
  <c r="C80" i="4"/>
  <c r="D80" i="4"/>
  <c r="A81" i="4"/>
  <c r="B81" i="4"/>
  <c r="C81" i="4"/>
  <c r="D81" i="4"/>
  <c r="A82" i="4"/>
  <c r="B82" i="4"/>
  <c r="C82" i="4"/>
  <c r="D82" i="4"/>
  <c r="A83" i="4"/>
  <c r="B83" i="4"/>
  <c r="C83" i="4"/>
  <c r="D83" i="4"/>
  <c r="A84" i="4"/>
  <c r="B84" i="4"/>
  <c r="C84" i="4"/>
  <c r="D84" i="4"/>
  <c r="A85" i="4"/>
  <c r="B85" i="4"/>
  <c r="C85" i="4"/>
  <c r="D85" i="4"/>
  <c r="A86" i="4"/>
  <c r="B86" i="4"/>
  <c r="C86" i="4"/>
  <c r="D86" i="4"/>
  <c r="A87" i="4"/>
  <c r="B87" i="4"/>
  <c r="C87" i="4"/>
  <c r="D87" i="4"/>
  <c r="A88" i="4"/>
  <c r="B88" i="4"/>
  <c r="C88" i="4"/>
  <c r="D88" i="4"/>
  <c r="A89" i="4"/>
  <c r="B89" i="4"/>
  <c r="C89" i="4"/>
  <c r="D89" i="4"/>
  <c r="A90" i="4"/>
  <c r="B90" i="4"/>
  <c r="C90" i="4"/>
  <c r="D90" i="4"/>
  <c r="A91" i="4"/>
  <c r="B91" i="4"/>
  <c r="C91" i="4"/>
  <c r="D91" i="4"/>
  <c r="A92" i="4"/>
  <c r="B92" i="4"/>
  <c r="C92" i="4"/>
  <c r="D92" i="4"/>
  <c r="A93" i="4"/>
  <c r="B93" i="4"/>
  <c r="C93" i="4"/>
  <c r="D93" i="4"/>
  <c r="A94" i="4"/>
  <c r="B94" i="4"/>
  <c r="C94" i="4"/>
  <c r="D94" i="4"/>
  <c r="A95" i="4"/>
  <c r="B95" i="4"/>
  <c r="C95" i="4"/>
  <c r="D95" i="4"/>
  <c r="A96" i="4"/>
  <c r="B96" i="4"/>
  <c r="C96" i="4"/>
  <c r="D96" i="4"/>
  <c r="A97" i="4"/>
  <c r="B97" i="4"/>
  <c r="C97" i="4"/>
  <c r="D97" i="4"/>
  <c r="A98" i="4"/>
  <c r="B98" i="4"/>
  <c r="C98" i="4"/>
  <c r="D98" i="4"/>
  <c r="A99" i="4"/>
  <c r="B99" i="4"/>
  <c r="C99" i="4"/>
  <c r="D99" i="4"/>
  <c r="A100" i="4"/>
  <c r="B100" i="4"/>
  <c r="C100" i="4"/>
  <c r="D100" i="4"/>
  <c r="A101" i="4"/>
  <c r="B101" i="4"/>
  <c r="C101" i="4"/>
  <c r="D101" i="4"/>
  <c r="A102" i="4"/>
  <c r="B102" i="4"/>
  <c r="C102" i="4"/>
  <c r="D102" i="4"/>
  <c r="A103" i="4"/>
  <c r="B103" i="4"/>
  <c r="C103" i="4"/>
  <c r="D103" i="4"/>
  <c r="A104" i="4"/>
  <c r="B104" i="4"/>
  <c r="C104" i="4"/>
  <c r="D104" i="4"/>
  <c r="A105" i="4"/>
  <c r="B105" i="4"/>
  <c r="C105" i="4"/>
  <c r="D105" i="4"/>
  <c r="A106" i="4"/>
  <c r="B106" i="4"/>
  <c r="C106" i="4"/>
  <c r="D106" i="4"/>
  <c r="A107" i="4"/>
  <c r="B107" i="4"/>
  <c r="C107" i="4"/>
  <c r="D107" i="4"/>
  <c r="A108" i="4"/>
  <c r="B108" i="4"/>
  <c r="C108" i="4"/>
  <c r="D108" i="4"/>
  <c r="A109" i="4"/>
  <c r="B109" i="4"/>
  <c r="C109" i="4"/>
  <c r="D109" i="4"/>
  <c r="A110" i="4"/>
  <c r="B110" i="4"/>
  <c r="C110" i="4"/>
  <c r="D110" i="4"/>
  <c r="A111" i="4"/>
  <c r="B111" i="4"/>
  <c r="C111" i="4"/>
  <c r="D111" i="4"/>
  <c r="A112" i="4"/>
  <c r="B112" i="4"/>
  <c r="C112" i="4"/>
  <c r="D112" i="4"/>
  <c r="A113" i="4"/>
  <c r="B113" i="4"/>
  <c r="C113" i="4"/>
  <c r="D113" i="4"/>
  <c r="A114" i="4"/>
  <c r="B114" i="4"/>
  <c r="C114" i="4"/>
  <c r="D114" i="4"/>
  <c r="A115" i="4"/>
  <c r="B115" i="4"/>
  <c r="C115" i="4"/>
  <c r="D115" i="4"/>
  <c r="A116" i="4"/>
  <c r="B116" i="4"/>
  <c r="C116" i="4"/>
  <c r="D116" i="4"/>
  <c r="A117" i="4"/>
  <c r="B117" i="4"/>
  <c r="C117" i="4"/>
  <c r="D117" i="4"/>
  <c r="A118" i="4"/>
  <c r="B118" i="4"/>
  <c r="C118" i="4"/>
  <c r="D118" i="4"/>
  <c r="A119" i="4"/>
  <c r="B119" i="4"/>
  <c r="C119" i="4"/>
  <c r="D119" i="4"/>
  <c r="A120" i="4"/>
  <c r="B120" i="4"/>
  <c r="C120" i="4"/>
  <c r="D120" i="4"/>
  <c r="A121" i="4"/>
  <c r="B121" i="4"/>
  <c r="C121" i="4"/>
  <c r="D121" i="4"/>
  <c r="A122" i="4"/>
  <c r="B122" i="4"/>
  <c r="C122" i="4"/>
  <c r="D122" i="4"/>
  <c r="A123" i="4"/>
  <c r="B123" i="4"/>
  <c r="C123" i="4"/>
  <c r="D123" i="4"/>
  <c r="A124" i="4"/>
  <c r="B124" i="4"/>
  <c r="C124" i="4"/>
  <c r="D124" i="4"/>
  <c r="A125" i="4"/>
  <c r="B125" i="4"/>
  <c r="C125" i="4"/>
  <c r="D125" i="4"/>
  <c r="A126" i="4"/>
  <c r="B126" i="4"/>
  <c r="C126" i="4"/>
  <c r="D126" i="4"/>
  <c r="B2" i="4"/>
  <c r="C2" i="4"/>
  <c r="D2" i="4"/>
  <c r="A2" i="4"/>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8" i="3"/>
  <c r="E79" i="3"/>
  <c r="E80" i="3"/>
  <c r="E81" i="3"/>
  <c r="E82" i="3"/>
  <c r="E83" i="3"/>
  <c r="E84" i="3"/>
  <c r="E85" i="3"/>
  <c r="E86" i="3"/>
  <c r="E87" i="3"/>
  <c r="E88" i="3"/>
  <c r="E89"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A5" i="3"/>
  <c r="B5" i="3"/>
  <c r="C5" i="3"/>
  <c r="D5" i="3"/>
  <c r="F5" i="3"/>
  <c r="G5" i="3"/>
  <c r="H5" i="3"/>
  <c r="I5" i="3"/>
  <c r="J5" i="3"/>
  <c r="K5" i="3"/>
  <c r="L5" i="3"/>
  <c r="M5" i="3"/>
  <c r="N5" i="3"/>
  <c r="O5" i="3"/>
  <c r="P5" i="3"/>
  <c r="Q5" i="3"/>
  <c r="R5" i="3"/>
  <c r="S5" i="3"/>
  <c r="T5" i="3"/>
  <c r="U5" i="3"/>
  <c r="V5" i="3"/>
  <c r="W5" i="3"/>
  <c r="X5" i="3"/>
  <c r="Y5" i="3"/>
  <c r="Z5" i="3"/>
  <c r="AA5" i="3"/>
  <c r="AB5" i="3"/>
  <c r="AC5" i="3"/>
  <c r="AD5" i="3"/>
  <c r="AE5" i="3"/>
  <c r="A6" i="3"/>
  <c r="B6" i="3"/>
  <c r="C6" i="3"/>
  <c r="D6" i="3"/>
  <c r="F6" i="3"/>
  <c r="G6" i="3"/>
  <c r="H6" i="3"/>
  <c r="I6" i="3"/>
  <c r="J6" i="3"/>
  <c r="K6" i="3"/>
  <c r="L6" i="3"/>
  <c r="M6" i="3"/>
  <c r="N6" i="3"/>
  <c r="O6" i="3"/>
  <c r="P6" i="3"/>
  <c r="Q6" i="3"/>
  <c r="R6" i="3"/>
  <c r="S6" i="3"/>
  <c r="T6" i="3"/>
  <c r="U6" i="3"/>
  <c r="V6" i="3"/>
  <c r="W6" i="3"/>
  <c r="X6" i="3"/>
  <c r="Y6" i="3"/>
  <c r="Z6" i="3"/>
  <c r="AA6" i="3"/>
  <c r="AB6" i="3"/>
  <c r="AC6" i="3"/>
  <c r="AD6" i="3"/>
  <c r="AE6" i="3"/>
  <c r="A7" i="3"/>
  <c r="B7" i="3"/>
  <c r="C7" i="3"/>
  <c r="D7" i="3"/>
  <c r="F7" i="3"/>
  <c r="G7" i="3"/>
  <c r="H7" i="3"/>
  <c r="I7" i="3"/>
  <c r="J7" i="3"/>
  <c r="K7" i="3"/>
  <c r="L7" i="3"/>
  <c r="M7" i="3"/>
  <c r="N7" i="3"/>
  <c r="O7" i="3"/>
  <c r="P7" i="3"/>
  <c r="Q7" i="3"/>
  <c r="R7" i="3"/>
  <c r="S7" i="3"/>
  <c r="T7" i="3"/>
  <c r="U7" i="3"/>
  <c r="V7" i="3"/>
  <c r="W7" i="3"/>
  <c r="X7" i="3"/>
  <c r="Y7" i="3"/>
  <c r="Z7" i="3"/>
  <c r="AA7" i="3"/>
  <c r="AB7" i="3"/>
  <c r="AC7" i="3"/>
  <c r="AD7" i="3"/>
  <c r="AE7" i="3"/>
  <c r="A8" i="3"/>
  <c r="B8" i="3"/>
  <c r="C8" i="3"/>
  <c r="D8" i="3"/>
  <c r="F8" i="3"/>
  <c r="G8" i="3"/>
  <c r="H8" i="3"/>
  <c r="I8" i="3"/>
  <c r="J8" i="3"/>
  <c r="K8" i="3"/>
  <c r="L8" i="3"/>
  <c r="M8" i="3"/>
  <c r="N8" i="3"/>
  <c r="O8" i="3"/>
  <c r="P8" i="3"/>
  <c r="Q8" i="3"/>
  <c r="R8" i="3"/>
  <c r="S8" i="3"/>
  <c r="T8" i="3"/>
  <c r="U8" i="3"/>
  <c r="V8" i="3"/>
  <c r="W8" i="3"/>
  <c r="X8" i="3"/>
  <c r="Y8" i="3"/>
  <c r="Z8" i="3"/>
  <c r="AA8" i="3"/>
  <c r="AB8" i="3"/>
  <c r="AC8" i="3"/>
  <c r="AD8" i="3"/>
  <c r="AE8" i="3"/>
  <c r="A9" i="3"/>
  <c r="B9" i="3"/>
  <c r="C9" i="3"/>
  <c r="D9" i="3"/>
  <c r="F9" i="3"/>
  <c r="G9" i="3"/>
  <c r="H9" i="3"/>
  <c r="I9" i="3"/>
  <c r="J9" i="3"/>
  <c r="K9" i="3"/>
  <c r="L9" i="3"/>
  <c r="M9" i="3"/>
  <c r="N9" i="3"/>
  <c r="O9" i="3"/>
  <c r="P9" i="3"/>
  <c r="Q9" i="3"/>
  <c r="R9" i="3"/>
  <c r="S9" i="3"/>
  <c r="T9" i="3"/>
  <c r="U9" i="3"/>
  <c r="V9" i="3"/>
  <c r="W9" i="3"/>
  <c r="X9" i="3"/>
  <c r="Y9" i="3"/>
  <c r="Z9" i="3"/>
  <c r="AA9" i="3"/>
  <c r="AB9" i="3"/>
  <c r="AC9" i="3"/>
  <c r="AD9" i="3"/>
  <c r="AE9" i="3"/>
  <c r="A10" i="3"/>
  <c r="B10" i="3"/>
  <c r="C10" i="3"/>
  <c r="D10" i="3"/>
  <c r="F10" i="3"/>
  <c r="G10" i="3"/>
  <c r="H10" i="3"/>
  <c r="I10" i="3"/>
  <c r="J10" i="3"/>
  <c r="K10" i="3"/>
  <c r="L10" i="3"/>
  <c r="M10" i="3"/>
  <c r="N10" i="3"/>
  <c r="O10" i="3"/>
  <c r="P10" i="3"/>
  <c r="Q10" i="3"/>
  <c r="R10" i="3"/>
  <c r="S10" i="3"/>
  <c r="T10" i="3"/>
  <c r="U10" i="3"/>
  <c r="V10" i="3"/>
  <c r="W10" i="3"/>
  <c r="X10" i="3"/>
  <c r="Y10" i="3"/>
  <c r="Z10" i="3"/>
  <c r="AA10" i="3"/>
  <c r="AB10" i="3"/>
  <c r="AC10" i="3"/>
  <c r="AD10" i="3"/>
  <c r="AE10" i="3"/>
  <c r="A11" i="3"/>
  <c r="B11" i="3"/>
  <c r="C11" i="3"/>
  <c r="D11" i="3"/>
  <c r="F11" i="3"/>
  <c r="G11" i="3"/>
  <c r="H11" i="3"/>
  <c r="I11" i="3"/>
  <c r="J11" i="3"/>
  <c r="K11" i="3"/>
  <c r="L11" i="3"/>
  <c r="M11" i="3"/>
  <c r="N11" i="3"/>
  <c r="O11" i="3"/>
  <c r="P11" i="3"/>
  <c r="Q11" i="3"/>
  <c r="R11" i="3"/>
  <c r="S11" i="3"/>
  <c r="T11" i="3"/>
  <c r="U11" i="3"/>
  <c r="V11" i="3"/>
  <c r="W11" i="3"/>
  <c r="X11" i="3"/>
  <c r="Y11" i="3"/>
  <c r="Z11" i="3"/>
  <c r="AA11" i="3"/>
  <c r="AB11" i="3"/>
  <c r="AC11" i="3"/>
  <c r="AD11" i="3"/>
  <c r="AE11" i="3"/>
  <c r="A12" i="3"/>
  <c r="B12" i="3"/>
  <c r="C12" i="3"/>
  <c r="D12" i="3"/>
  <c r="F12" i="3"/>
  <c r="G12" i="3"/>
  <c r="H12" i="3"/>
  <c r="I12" i="3"/>
  <c r="J12" i="3"/>
  <c r="K12" i="3"/>
  <c r="L12" i="3"/>
  <c r="M12" i="3"/>
  <c r="N12" i="3"/>
  <c r="O12" i="3"/>
  <c r="P12" i="3"/>
  <c r="Q12" i="3"/>
  <c r="R12" i="3"/>
  <c r="S12" i="3"/>
  <c r="T12" i="3"/>
  <c r="U12" i="3"/>
  <c r="V12" i="3"/>
  <c r="W12" i="3"/>
  <c r="X12" i="3"/>
  <c r="Y12" i="3"/>
  <c r="Z12" i="3"/>
  <c r="AA12" i="3"/>
  <c r="AB12" i="3"/>
  <c r="AC12" i="3"/>
  <c r="AD12" i="3"/>
  <c r="AE12" i="3"/>
  <c r="A13" i="3"/>
  <c r="B13" i="3"/>
  <c r="C13" i="3"/>
  <c r="D13" i="3"/>
  <c r="F13" i="3"/>
  <c r="G13" i="3"/>
  <c r="H13" i="3"/>
  <c r="I13" i="3"/>
  <c r="J13" i="3"/>
  <c r="K13" i="3"/>
  <c r="L13" i="3"/>
  <c r="M13" i="3"/>
  <c r="N13" i="3"/>
  <c r="O13" i="3"/>
  <c r="P13" i="3"/>
  <c r="Q13" i="3"/>
  <c r="R13" i="3"/>
  <c r="S13" i="3"/>
  <c r="T13" i="3"/>
  <c r="U13" i="3"/>
  <c r="V13" i="3"/>
  <c r="W13" i="3"/>
  <c r="X13" i="3"/>
  <c r="Y13" i="3"/>
  <c r="Z13" i="3"/>
  <c r="AA13" i="3"/>
  <c r="AB13" i="3"/>
  <c r="AC13" i="3"/>
  <c r="AD13" i="3"/>
  <c r="AE13" i="3"/>
  <c r="A14" i="3"/>
  <c r="B14" i="3"/>
  <c r="C14" i="3"/>
  <c r="D14" i="3"/>
  <c r="F14" i="3"/>
  <c r="G14" i="3"/>
  <c r="H14" i="3"/>
  <c r="I14" i="3"/>
  <c r="J14" i="3"/>
  <c r="K14" i="3"/>
  <c r="L14" i="3"/>
  <c r="M14" i="3"/>
  <c r="N14" i="3"/>
  <c r="O14" i="3"/>
  <c r="P14" i="3"/>
  <c r="Q14" i="3"/>
  <c r="R14" i="3"/>
  <c r="S14" i="3"/>
  <c r="T14" i="3"/>
  <c r="U14" i="3"/>
  <c r="V14" i="3"/>
  <c r="W14" i="3"/>
  <c r="X14" i="3"/>
  <c r="Y14" i="3"/>
  <c r="Z14" i="3"/>
  <c r="AA14" i="3"/>
  <c r="AB14" i="3"/>
  <c r="AC14" i="3"/>
  <c r="AD14" i="3"/>
  <c r="AE14" i="3"/>
  <c r="A15" i="3"/>
  <c r="B15" i="3"/>
  <c r="C15" i="3"/>
  <c r="D15" i="3"/>
  <c r="F15" i="3"/>
  <c r="G15" i="3"/>
  <c r="H15" i="3"/>
  <c r="I15" i="3"/>
  <c r="J15" i="3"/>
  <c r="K15" i="3"/>
  <c r="L15" i="3"/>
  <c r="M15" i="3"/>
  <c r="N15" i="3"/>
  <c r="O15" i="3"/>
  <c r="P15" i="3"/>
  <c r="Q15" i="3"/>
  <c r="R15" i="3"/>
  <c r="S15" i="3"/>
  <c r="T15" i="3"/>
  <c r="U15" i="3"/>
  <c r="V15" i="3"/>
  <c r="W15" i="3"/>
  <c r="X15" i="3"/>
  <c r="Y15" i="3"/>
  <c r="Z15" i="3"/>
  <c r="AA15" i="3"/>
  <c r="AB15" i="3"/>
  <c r="AC15" i="3"/>
  <c r="AD15" i="3"/>
  <c r="AE15" i="3"/>
  <c r="A16" i="3"/>
  <c r="B16" i="3"/>
  <c r="C16" i="3"/>
  <c r="D16" i="3"/>
  <c r="F16" i="3"/>
  <c r="G16" i="3"/>
  <c r="H16" i="3"/>
  <c r="I16" i="3"/>
  <c r="J16" i="3"/>
  <c r="K16" i="3"/>
  <c r="L16" i="3"/>
  <c r="M16" i="3"/>
  <c r="N16" i="3"/>
  <c r="O16" i="3"/>
  <c r="P16" i="3"/>
  <c r="Q16" i="3"/>
  <c r="R16" i="3"/>
  <c r="S16" i="3"/>
  <c r="T16" i="3"/>
  <c r="U16" i="3"/>
  <c r="V16" i="3"/>
  <c r="W16" i="3"/>
  <c r="X16" i="3"/>
  <c r="Y16" i="3"/>
  <c r="Z16" i="3"/>
  <c r="AA16" i="3"/>
  <c r="AB16" i="3"/>
  <c r="AC16" i="3"/>
  <c r="AD16" i="3"/>
  <c r="AE16" i="3"/>
  <c r="A17" i="3"/>
  <c r="B17" i="3"/>
  <c r="C17" i="3"/>
  <c r="D17" i="3"/>
  <c r="F17" i="3"/>
  <c r="G17" i="3"/>
  <c r="H17" i="3"/>
  <c r="I17" i="3"/>
  <c r="J17" i="3"/>
  <c r="K17" i="3"/>
  <c r="L17" i="3"/>
  <c r="M17" i="3"/>
  <c r="N17" i="3"/>
  <c r="O17" i="3"/>
  <c r="P17" i="3"/>
  <c r="Q17" i="3"/>
  <c r="R17" i="3"/>
  <c r="S17" i="3"/>
  <c r="T17" i="3"/>
  <c r="U17" i="3"/>
  <c r="V17" i="3"/>
  <c r="W17" i="3"/>
  <c r="X17" i="3"/>
  <c r="Y17" i="3"/>
  <c r="Z17" i="3"/>
  <c r="AA17" i="3"/>
  <c r="AB17" i="3"/>
  <c r="AC17" i="3"/>
  <c r="AD17" i="3"/>
  <c r="AE17" i="3"/>
  <c r="A18" i="3"/>
  <c r="B18" i="3"/>
  <c r="C18" i="3"/>
  <c r="D18" i="3"/>
  <c r="F18" i="3"/>
  <c r="G18" i="3"/>
  <c r="H18" i="3"/>
  <c r="I18" i="3"/>
  <c r="J18" i="3"/>
  <c r="K18" i="3"/>
  <c r="L18" i="3"/>
  <c r="M18" i="3"/>
  <c r="N18" i="3"/>
  <c r="O18" i="3"/>
  <c r="P18" i="3"/>
  <c r="Q18" i="3"/>
  <c r="R18" i="3"/>
  <c r="S18" i="3"/>
  <c r="T18" i="3"/>
  <c r="U18" i="3"/>
  <c r="V18" i="3"/>
  <c r="W18" i="3"/>
  <c r="X18" i="3"/>
  <c r="Y18" i="3"/>
  <c r="Z18" i="3"/>
  <c r="AA18" i="3"/>
  <c r="AB18" i="3"/>
  <c r="AC18" i="3"/>
  <c r="AD18" i="3"/>
  <c r="AE18" i="3"/>
  <c r="A19" i="3"/>
  <c r="B19" i="3"/>
  <c r="C19" i="3"/>
  <c r="D19" i="3"/>
  <c r="F19" i="3"/>
  <c r="G19" i="3"/>
  <c r="H19" i="3"/>
  <c r="I19" i="3"/>
  <c r="J19" i="3"/>
  <c r="K19" i="3"/>
  <c r="L19" i="3"/>
  <c r="M19" i="3"/>
  <c r="N19" i="3"/>
  <c r="O19" i="3"/>
  <c r="P19" i="3"/>
  <c r="Q19" i="3"/>
  <c r="R19" i="3"/>
  <c r="S19" i="3"/>
  <c r="T19" i="3"/>
  <c r="U19" i="3"/>
  <c r="V19" i="3"/>
  <c r="W19" i="3"/>
  <c r="X19" i="3"/>
  <c r="Y19" i="3"/>
  <c r="Z19" i="3"/>
  <c r="AA19" i="3"/>
  <c r="AB19" i="3"/>
  <c r="AC19" i="3"/>
  <c r="AD19" i="3"/>
  <c r="AE19" i="3"/>
  <c r="A20" i="3"/>
  <c r="B20" i="3"/>
  <c r="C20" i="3"/>
  <c r="D20" i="3"/>
  <c r="F20" i="3"/>
  <c r="G20" i="3"/>
  <c r="H20" i="3"/>
  <c r="I20" i="3"/>
  <c r="J20" i="3"/>
  <c r="K20" i="3"/>
  <c r="L20" i="3"/>
  <c r="M20" i="3"/>
  <c r="N20" i="3"/>
  <c r="O20" i="3"/>
  <c r="P20" i="3"/>
  <c r="Q20" i="3"/>
  <c r="R20" i="3"/>
  <c r="S20" i="3"/>
  <c r="T20" i="3"/>
  <c r="U20" i="3"/>
  <c r="V20" i="3"/>
  <c r="W20" i="3"/>
  <c r="X20" i="3"/>
  <c r="Y20" i="3"/>
  <c r="Z20" i="3"/>
  <c r="AA20" i="3"/>
  <c r="AB20" i="3"/>
  <c r="AC20" i="3"/>
  <c r="AD20" i="3"/>
  <c r="AE20" i="3"/>
  <c r="A21" i="3"/>
  <c r="B21" i="3"/>
  <c r="C21" i="3"/>
  <c r="D21" i="3"/>
  <c r="F21" i="3"/>
  <c r="G21" i="3"/>
  <c r="H21" i="3"/>
  <c r="I21" i="3"/>
  <c r="J21" i="3"/>
  <c r="K21" i="3"/>
  <c r="L21" i="3"/>
  <c r="M21" i="3"/>
  <c r="N21" i="3"/>
  <c r="O21" i="3"/>
  <c r="P21" i="3"/>
  <c r="Q21" i="3"/>
  <c r="R21" i="3"/>
  <c r="S21" i="3"/>
  <c r="T21" i="3"/>
  <c r="U21" i="3"/>
  <c r="V21" i="3"/>
  <c r="W21" i="3"/>
  <c r="X21" i="3"/>
  <c r="Y21" i="3"/>
  <c r="Z21" i="3"/>
  <c r="AA21" i="3"/>
  <c r="AB21" i="3"/>
  <c r="AC21" i="3"/>
  <c r="AD21" i="3"/>
  <c r="AE21" i="3"/>
  <c r="A22" i="3"/>
  <c r="B22" i="3"/>
  <c r="C22" i="3"/>
  <c r="D22" i="3"/>
  <c r="F22" i="3"/>
  <c r="G22" i="3"/>
  <c r="H22" i="3"/>
  <c r="I22" i="3"/>
  <c r="J22" i="3"/>
  <c r="K22" i="3"/>
  <c r="L22" i="3"/>
  <c r="M22" i="3"/>
  <c r="N22" i="3"/>
  <c r="O22" i="3"/>
  <c r="P22" i="3"/>
  <c r="Q22" i="3"/>
  <c r="R22" i="3"/>
  <c r="S22" i="3"/>
  <c r="T22" i="3"/>
  <c r="U22" i="3"/>
  <c r="V22" i="3"/>
  <c r="W22" i="3"/>
  <c r="X22" i="3"/>
  <c r="Y22" i="3"/>
  <c r="Z22" i="3"/>
  <c r="AA22" i="3"/>
  <c r="AB22" i="3"/>
  <c r="AC22" i="3"/>
  <c r="AD22" i="3"/>
  <c r="AE22" i="3"/>
  <c r="A23" i="3"/>
  <c r="B23" i="3"/>
  <c r="C23" i="3"/>
  <c r="D23" i="3"/>
  <c r="F23" i="3"/>
  <c r="G23" i="3"/>
  <c r="H23" i="3"/>
  <c r="I23" i="3"/>
  <c r="J23" i="3"/>
  <c r="K23" i="3"/>
  <c r="L23" i="3"/>
  <c r="M23" i="3"/>
  <c r="N23" i="3"/>
  <c r="O23" i="3"/>
  <c r="P23" i="3"/>
  <c r="Q23" i="3"/>
  <c r="R23" i="3"/>
  <c r="S23" i="3"/>
  <c r="T23" i="3"/>
  <c r="U23" i="3"/>
  <c r="V23" i="3"/>
  <c r="W23" i="3"/>
  <c r="X23" i="3"/>
  <c r="Y23" i="3"/>
  <c r="Z23" i="3"/>
  <c r="AA23" i="3"/>
  <c r="AB23" i="3"/>
  <c r="AC23" i="3"/>
  <c r="AD23" i="3"/>
  <c r="AE23" i="3"/>
  <c r="A24" i="3"/>
  <c r="B24" i="3"/>
  <c r="C24" i="3"/>
  <c r="D24" i="3"/>
  <c r="F24" i="3"/>
  <c r="G24" i="3"/>
  <c r="H24" i="3"/>
  <c r="I24" i="3"/>
  <c r="J24" i="3"/>
  <c r="K24" i="3"/>
  <c r="L24" i="3"/>
  <c r="M24" i="3"/>
  <c r="N24" i="3"/>
  <c r="O24" i="3"/>
  <c r="P24" i="3"/>
  <c r="Q24" i="3"/>
  <c r="R24" i="3"/>
  <c r="S24" i="3"/>
  <c r="T24" i="3"/>
  <c r="U24" i="3"/>
  <c r="V24" i="3"/>
  <c r="W24" i="3"/>
  <c r="X24" i="3"/>
  <c r="Y24" i="3"/>
  <c r="Z24" i="3"/>
  <c r="AA24" i="3"/>
  <c r="AB24" i="3"/>
  <c r="AC24" i="3"/>
  <c r="AD24" i="3"/>
  <c r="AE24" i="3"/>
  <c r="A25" i="3"/>
  <c r="B25" i="3"/>
  <c r="C25" i="3"/>
  <c r="D25" i="3"/>
  <c r="F25" i="3"/>
  <c r="G25" i="3"/>
  <c r="H25" i="3"/>
  <c r="I25" i="3"/>
  <c r="J25" i="3"/>
  <c r="K25" i="3"/>
  <c r="L25" i="3"/>
  <c r="M25" i="3"/>
  <c r="N25" i="3"/>
  <c r="O25" i="3"/>
  <c r="P25" i="3"/>
  <c r="Q25" i="3"/>
  <c r="R25" i="3"/>
  <c r="S25" i="3"/>
  <c r="T25" i="3"/>
  <c r="U25" i="3"/>
  <c r="V25" i="3"/>
  <c r="W25" i="3"/>
  <c r="X25" i="3"/>
  <c r="Y25" i="3"/>
  <c r="Z25" i="3"/>
  <c r="AA25" i="3"/>
  <c r="AB25" i="3"/>
  <c r="AC25" i="3"/>
  <c r="AD25" i="3"/>
  <c r="AE25" i="3"/>
  <c r="A26" i="3"/>
  <c r="B26" i="3"/>
  <c r="C26" i="3"/>
  <c r="D26" i="3"/>
  <c r="F26" i="3"/>
  <c r="G26" i="3"/>
  <c r="H26" i="3"/>
  <c r="I26" i="3"/>
  <c r="J26" i="3"/>
  <c r="K26" i="3"/>
  <c r="L26" i="3"/>
  <c r="M26" i="3"/>
  <c r="N26" i="3"/>
  <c r="O26" i="3"/>
  <c r="P26" i="3"/>
  <c r="Q26" i="3"/>
  <c r="R26" i="3"/>
  <c r="S26" i="3"/>
  <c r="T26" i="3"/>
  <c r="U26" i="3"/>
  <c r="V26" i="3"/>
  <c r="W26" i="3"/>
  <c r="X26" i="3"/>
  <c r="Y26" i="3"/>
  <c r="Z26" i="3"/>
  <c r="AA26" i="3"/>
  <c r="AB26" i="3"/>
  <c r="AC26" i="3"/>
  <c r="AD26" i="3"/>
  <c r="AE26" i="3"/>
  <c r="A27" i="3"/>
  <c r="B27" i="3"/>
  <c r="C27" i="3"/>
  <c r="D27" i="3"/>
  <c r="F27" i="3"/>
  <c r="G27" i="3"/>
  <c r="H27" i="3"/>
  <c r="I27" i="3"/>
  <c r="J27" i="3"/>
  <c r="K27" i="3"/>
  <c r="L27" i="3"/>
  <c r="M27" i="3"/>
  <c r="N27" i="3"/>
  <c r="O27" i="3"/>
  <c r="P27" i="3"/>
  <c r="Q27" i="3"/>
  <c r="R27" i="3"/>
  <c r="S27" i="3"/>
  <c r="T27" i="3"/>
  <c r="U27" i="3"/>
  <c r="V27" i="3"/>
  <c r="W27" i="3"/>
  <c r="X27" i="3"/>
  <c r="Y27" i="3"/>
  <c r="Z27" i="3"/>
  <c r="AA27" i="3"/>
  <c r="AB27" i="3"/>
  <c r="AC27" i="3"/>
  <c r="AD27" i="3"/>
  <c r="AE27" i="3"/>
  <c r="A28" i="3"/>
  <c r="B28" i="3"/>
  <c r="C28" i="3"/>
  <c r="D28" i="3"/>
  <c r="F28" i="3"/>
  <c r="G28" i="3"/>
  <c r="H28" i="3"/>
  <c r="I28" i="3"/>
  <c r="J28" i="3"/>
  <c r="K28" i="3"/>
  <c r="L28" i="3"/>
  <c r="M28" i="3"/>
  <c r="N28" i="3"/>
  <c r="O28" i="3"/>
  <c r="P28" i="3"/>
  <c r="Q28" i="3"/>
  <c r="R28" i="3"/>
  <c r="S28" i="3"/>
  <c r="T28" i="3"/>
  <c r="U28" i="3"/>
  <c r="V28" i="3"/>
  <c r="W28" i="3"/>
  <c r="X28" i="3"/>
  <c r="Y28" i="3"/>
  <c r="Z28" i="3"/>
  <c r="AA28" i="3"/>
  <c r="AB28" i="3"/>
  <c r="AC28" i="3"/>
  <c r="AD28" i="3"/>
  <c r="AE28" i="3"/>
  <c r="A29" i="3"/>
  <c r="B29" i="3"/>
  <c r="C29" i="3"/>
  <c r="D29" i="3"/>
  <c r="F29" i="3"/>
  <c r="G29" i="3"/>
  <c r="H29" i="3"/>
  <c r="I29" i="3"/>
  <c r="J29" i="3"/>
  <c r="K29" i="3"/>
  <c r="L29" i="3"/>
  <c r="M29" i="3"/>
  <c r="N29" i="3"/>
  <c r="O29" i="3"/>
  <c r="P29" i="3"/>
  <c r="Q29" i="3"/>
  <c r="R29" i="3"/>
  <c r="S29" i="3"/>
  <c r="T29" i="3"/>
  <c r="U29" i="3"/>
  <c r="V29" i="3"/>
  <c r="W29" i="3"/>
  <c r="X29" i="3"/>
  <c r="Y29" i="3"/>
  <c r="Z29" i="3"/>
  <c r="AA29" i="3"/>
  <c r="AB29" i="3"/>
  <c r="AC29" i="3"/>
  <c r="AD29" i="3"/>
  <c r="AE29" i="3"/>
  <c r="A30" i="3"/>
  <c r="B30" i="3"/>
  <c r="C30" i="3"/>
  <c r="D30" i="3"/>
  <c r="F30" i="3"/>
  <c r="G30" i="3"/>
  <c r="H30" i="3"/>
  <c r="I30" i="3"/>
  <c r="J30" i="3"/>
  <c r="K30" i="3"/>
  <c r="L30" i="3"/>
  <c r="M30" i="3"/>
  <c r="N30" i="3"/>
  <c r="O30" i="3"/>
  <c r="P30" i="3"/>
  <c r="Q30" i="3"/>
  <c r="R30" i="3"/>
  <c r="S30" i="3"/>
  <c r="T30" i="3"/>
  <c r="U30" i="3"/>
  <c r="V30" i="3"/>
  <c r="W30" i="3"/>
  <c r="X30" i="3"/>
  <c r="Y30" i="3"/>
  <c r="Z30" i="3"/>
  <c r="AA30" i="3"/>
  <c r="AB30" i="3"/>
  <c r="AC30" i="3"/>
  <c r="AD30" i="3"/>
  <c r="AE30" i="3"/>
  <c r="A31" i="3"/>
  <c r="B31" i="3"/>
  <c r="C31" i="3"/>
  <c r="D31" i="3"/>
  <c r="F31" i="3"/>
  <c r="G31" i="3"/>
  <c r="H31" i="3"/>
  <c r="I31" i="3"/>
  <c r="J31" i="3"/>
  <c r="K31" i="3"/>
  <c r="L31" i="3"/>
  <c r="M31" i="3"/>
  <c r="N31" i="3"/>
  <c r="O31" i="3"/>
  <c r="P31" i="3"/>
  <c r="Q31" i="3"/>
  <c r="R31" i="3"/>
  <c r="S31" i="3"/>
  <c r="T31" i="3"/>
  <c r="U31" i="3"/>
  <c r="V31" i="3"/>
  <c r="W31" i="3"/>
  <c r="X31" i="3"/>
  <c r="Y31" i="3"/>
  <c r="Z31" i="3"/>
  <c r="AA31" i="3"/>
  <c r="AB31" i="3"/>
  <c r="AC31" i="3"/>
  <c r="AD31" i="3"/>
  <c r="AE31" i="3"/>
  <c r="A32" i="3"/>
  <c r="B32" i="3"/>
  <c r="C32" i="3"/>
  <c r="D32" i="3"/>
  <c r="F32" i="3"/>
  <c r="G32" i="3"/>
  <c r="H32" i="3"/>
  <c r="I32" i="3"/>
  <c r="J32" i="3"/>
  <c r="K32" i="3"/>
  <c r="L32" i="3"/>
  <c r="M32" i="3"/>
  <c r="N32" i="3"/>
  <c r="O32" i="3"/>
  <c r="P32" i="3"/>
  <c r="Q32" i="3"/>
  <c r="R32" i="3"/>
  <c r="S32" i="3"/>
  <c r="T32" i="3"/>
  <c r="U32" i="3"/>
  <c r="V32" i="3"/>
  <c r="W32" i="3"/>
  <c r="X32" i="3"/>
  <c r="Y32" i="3"/>
  <c r="Z32" i="3"/>
  <c r="AA32" i="3"/>
  <c r="AB32" i="3"/>
  <c r="AC32" i="3"/>
  <c r="AD32" i="3"/>
  <c r="AE32" i="3"/>
  <c r="A33" i="3"/>
  <c r="B33" i="3"/>
  <c r="C33" i="3"/>
  <c r="D33" i="3"/>
  <c r="F33" i="3"/>
  <c r="G33" i="3"/>
  <c r="H33" i="3"/>
  <c r="I33" i="3"/>
  <c r="J33" i="3"/>
  <c r="K33" i="3"/>
  <c r="L33" i="3"/>
  <c r="M33" i="3"/>
  <c r="N33" i="3"/>
  <c r="O33" i="3"/>
  <c r="P33" i="3"/>
  <c r="Q33" i="3"/>
  <c r="R33" i="3"/>
  <c r="S33" i="3"/>
  <c r="T33" i="3"/>
  <c r="U33" i="3"/>
  <c r="V33" i="3"/>
  <c r="W33" i="3"/>
  <c r="X33" i="3"/>
  <c r="Y33" i="3"/>
  <c r="Z33" i="3"/>
  <c r="AA33" i="3"/>
  <c r="AB33" i="3"/>
  <c r="AC33" i="3"/>
  <c r="AD33" i="3"/>
  <c r="AE33" i="3"/>
  <c r="A34" i="3"/>
  <c r="B34" i="3"/>
  <c r="C34" i="3"/>
  <c r="D34" i="3"/>
  <c r="F34" i="3"/>
  <c r="G34" i="3"/>
  <c r="H34" i="3"/>
  <c r="I34" i="3"/>
  <c r="J34" i="3"/>
  <c r="K34" i="3"/>
  <c r="L34" i="3"/>
  <c r="M34" i="3"/>
  <c r="N34" i="3"/>
  <c r="O34" i="3"/>
  <c r="P34" i="3"/>
  <c r="Q34" i="3"/>
  <c r="R34" i="3"/>
  <c r="S34" i="3"/>
  <c r="T34" i="3"/>
  <c r="U34" i="3"/>
  <c r="V34" i="3"/>
  <c r="W34" i="3"/>
  <c r="X34" i="3"/>
  <c r="Y34" i="3"/>
  <c r="Z34" i="3"/>
  <c r="AA34" i="3"/>
  <c r="AB34" i="3"/>
  <c r="AC34" i="3"/>
  <c r="AD34" i="3"/>
  <c r="AE34" i="3"/>
  <c r="A35" i="3"/>
  <c r="B35" i="3"/>
  <c r="C35" i="3"/>
  <c r="D35" i="3"/>
  <c r="F35" i="3"/>
  <c r="G35" i="3"/>
  <c r="H35" i="3"/>
  <c r="I35" i="3"/>
  <c r="J35" i="3"/>
  <c r="K35" i="3"/>
  <c r="L35" i="3"/>
  <c r="M35" i="3"/>
  <c r="N35" i="3"/>
  <c r="O35" i="3"/>
  <c r="P35" i="3"/>
  <c r="Q35" i="3"/>
  <c r="R35" i="3"/>
  <c r="S35" i="3"/>
  <c r="T35" i="3"/>
  <c r="U35" i="3"/>
  <c r="V35" i="3"/>
  <c r="W35" i="3"/>
  <c r="X35" i="3"/>
  <c r="Y35" i="3"/>
  <c r="Z35" i="3"/>
  <c r="AA35" i="3"/>
  <c r="AB35" i="3"/>
  <c r="AC35" i="3"/>
  <c r="AD35" i="3"/>
  <c r="AE35" i="3"/>
  <c r="A36" i="3"/>
  <c r="B36" i="3"/>
  <c r="C36" i="3"/>
  <c r="D36" i="3"/>
  <c r="F36" i="3"/>
  <c r="G36" i="3"/>
  <c r="H36" i="3"/>
  <c r="I36" i="3"/>
  <c r="J36" i="3"/>
  <c r="K36" i="3"/>
  <c r="L36" i="3"/>
  <c r="M36" i="3"/>
  <c r="N36" i="3"/>
  <c r="O36" i="3"/>
  <c r="P36" i="3"/>
  <c r="Q36" i="3"/>
  <c r="R36" i="3"/>
  <c r="S36" i="3"/>
  <c r="T36" i="3"/>
  <c r="U36" i="3"/>
  <c r="V36" i="3"/>
  <c r="W36" i="3"/>
  <c r="X36" i="3"/>
  <c r="Y36" i="3"/>
  <c r="Z36" i="3"/>
  <c r="AA36" i="3"/>
  <c r="AB36" i="3"/>
  <c r="AC36" i="3"/>
  <c r="AD36" i="3"/>
  <c r="AE36" i="3"/>
  <c r="A37" i="3"/>
  <c r="B37" i="3"/>
  <c r="C37" i="3"/>
  <c r="D37" i="3"/>
  <c r="F37" i="3"/>
  <c r="G37" i="3"/>
  <c r="H37" i="3"/>
  <c r="I37" i="3"/>
  <c r="J37" i="3"/>
  <c r="K37" i="3"/>
  <c r="L37" i="3"/>
  <c r="M37" i="3"/>
  <c r="N37" i="3"/>
  <c r="O37" i="3"/>
  <c r="P37" i="3"/>
  <c r="Q37" i="3"/>
  <c r="R37" i="3"/>
  <c r="S37" i="3"/>
  <c r="T37" i="3"/>
  <c r="U37" i="3"/>
  <c r="V37" i="3"/>
  <c r="W37" i="3"/>
  <c r="X37" i="3"/>
  <c r="Y37" i="3"/>
  <c r="Z37" i="3"/>
  <c r="AA37" i="3"/>
  <c r="AB37" i="3"/>
  <c r="AC37" i="3"/>
  <c r="AD37" i="3"/>
  <c r="AE37" i="3"/>
  <c r="A38" i="3"/>
  <c r="B38" i="3"/>
  <c r="C38" i="3"/>
  <c r="D38" i="3"/>
  <c r="F38" i="3"/>
  <c r="G38" i="3"/>
  <c r="H38" i="3"/>
  <c r="I38" i="3"/>
  <c r="J38" i="3"/>
  <c r="K38" i="3"/>
  <c r="L38" i="3"/>
  <c r="M38" i="3"/>
  <c r="N38" i="3"/>
  <c r="O38" i="3"/>
  <c r="P38" i="3"/>
  <c r="Q38" i="3"/>
  <c r="R38" i="3"/>
  <c r="S38" i="3"/>
  <c r="T38" i="3"/>
  <c r="U38" i="3"/>
  <c r="V38" i="3"/>
  <c r="W38" i="3"/>
  <c r="X38" i="3"/>
  <c r="Y38" i="3"/>
  <c r="Z38" i="3"/>
  <c r="AA38" i="3"/>
  <c r="AB38" i="3"/>
  <c r="AC38" i="3"/>
  <c r="AD38" i="3"/>
  <c r="AE38" i="3"/>
  <c r="A39" i="3"/>
  <c r="B39" i="3"/>
  <c r="C39" i="3"/>
  <c r="D39" i="3"/>
  <c r="F39" i="3"/>
  <c r="G39" i="3"/>
  <c r="H39" i="3"/>
  <c r="I39" i="3"/>
  <c r="J39" i="3"/>
  <c r="K39" i="3"/>
  <c r="L39" i="3"/>
  <c r="M39" i="3"/>
  <c r="N39" i="3"/>
  <c r="O39" i="3"/>
  <c r="P39" i="3"/>
  <c r="Q39" i="3"/>
  <c r="R39" i="3"/>
  <c r="S39" i="3"/>
  <c r="T39" i="3"/>
  <c r="U39" i="3"/>
  <c r="V39" i="3"/>
  <c r="W39" i="3"/>
  <c r="X39" i="3"/>
  <c r="Y39" i="3"/>
  <c r="Z39" i="3"/>
  <c r="AA39" i="3"/>
  <c r="AB39" i="3"/>
  <c r="AC39" i="3"/>
  <c r="AD39" i="3"/>
  <c r="AE39" i="3"/>
  <c r="A40" i="3"/>
  <c r="B40" i="3"/>
  <c r="C40" i="3"/>
  <c r="D40" i="3"/>
  <c r="F40" i="3"/>
  <c r="G40" i="3"/>
  <c r="H40" i="3"/>
  <c r="I40" i="3"/>
  <c r="J40" i="3"/>
  <c r="K40" i="3"/>
  <c r="L40" i="3"/>
  <c r="M40" i="3"/>
  <c r="N40" i="3"/>
  <c r="O40" i="3"/>
  <c r="P40" i="3"/>
  <c r="Q40" i="3"/>
  <c r="R40" i="3"/>
  <c r="S40" i="3"/>
  <c r="T40" i="3"/>
  <c r="U40" i="3"/>
  <c r="V40" i="3"/>
  <c r="W40" i="3"/>
  <c r="X40" i="3"/>
  <c r="Y40" i="3"/>
  <c r="Z40" i="3"/>
  <c r="AA40" i="3"/>
  <c r="AB40" i="3"/>
  <c r="AC40" i="3"/>
  <c r="AD40" i="3"/>
  <c r="AE40" i="3"/>
  <c r="A41" i="3"/>
  <c r="B41" i="3"/>
  <c r="C41" i="3"/>
  <c r="D41" i="3"/>
  <c r="F41" i="3"/>
  <c r="G41" i="3"/>
  <c r="H41" i="3"/>
  <c r="I41" i="3"/>
  <c r="J41" i="3"/>
  <c r="K41" i="3"/>
  <c r="L41" i="3"/>
  <c r="M41" i="3"/>
  <c r="N41" i="3"/>
  <c r="O41" i="3"/>
  <c r="P41" i="3"/>
  <c r="Q41" i="3"/>
  <c r="R41" i="3"/>
  <c r="S41" i="3"/>
  <c r="T41" i="3"/>
  <c r="U41" i="3"/>
  <c r="V41" i="3"/>
  <c r="W41" i="3"/>
  <c r="X41" i="3"/>
  <c r="Y41" i="3"/>
  <c r="Z41" i="3"/>
  <c r="AA41" i="3"/>
  <c r="AB41" i="3"/>
  <c r="AC41" i="3"/>
  <c r="AD41" i="3"/>
  <c r="AE41" i="3"/>
  <c r="A42" i="3"/>
  <c r="B42" i="3"/>
  <c r="C42" i="3"/>
  <c r="D42" i="3"/>
  <c r="F42" i="3"/>
  <c r="G42" i="3"/>
  <c r="H42" i="3"/>
  <c r="I42" i="3"/>
  <c r="J42" i="3"/>
  <c r="K42" i="3"/>
  <c r="L42" i="3"/>
  <c r="M42" i="3"/>
  <c r="N42" i="3"/>
  <c r="O42" i="3"/>
  <c r="P42" i="3"/>
  <c r="Q42" i="3"/>
  <c r="R42" i="3"/>
  <c r="S42" i="3"/>
  <c r="T42" i="3"/>
  <c r="U42" i="3"/>
  <c r="V42" i="3"/>
  <c r="W42" i="3"/>
  <c r="X42" i="3"/>
  <c r="Y42" i="3"/>
  <c r="Z42" i="3"/>
  <c r="AA42" i="3"/>
  <c r="AB42" i="3"/>
  <c r="AC42" i="3"/>
  <c r="AD42" i="3"/>
  <c r="AE42" i="3"/>
  <c r="A43" i="3"/>
  <c r="B43" i="3"/>
  <c r="C43" i="3"/>
  <c r="D43" i="3"/>
  <c r="F43" i="3"/>
  <c r="G43" i="3"/>
  <c r="H43" i="3"/>
  <c r="I43" i="3"/>
  <c r="J43" i="3"/>
  <c r="K43" i="3"/>
  <c r="L43" i="3"/>
  <c r="M43" i="3"/>
  <c r="N43" i="3"/>
  <c r="O43" i="3"/>
  <c r="P43" i="3"/>
  <c r="Q43" i="3"/>
  <c r="R43" i="3"/>
  <c r="S43" i="3"/>
  <c r="T43" i="3"/>
  <c r="U43" i="3"/>
  <c r="V43" i="3"/>
  <c r="W43" i="3"/>
  <c r="X43" i="3"/>
  <c r="Y43" i="3"/>
  <c r="Z43" i="3"/>
  <c r="AA43" i="3"/>
  <c r="AB43" i="3"/>
  <c r="AC43" i="3"/>
  <c r="AD43" i="3"/>
  <c r="AE43" i="3"/>
  <c r="A44" i="3"/>
  <c r="B44" i="3"/>
  <c r="C44" i="3"/>
  <c r="D44" i="3"/>
  <c r="F44" i="3"/>
  <c r="G44" i="3"/>
  <c r="H44" i="3"/>
  <c r="I44" i="3"/>
  <c r="J44" i="3"/>
  <c r="K44" i="3"/>
  <c r="L44" i="3"/>
  <c r="M44" i="3"/>
  <c r="N44" i="3"/>
  <c r="O44" i="3"/>
  <c r="P44" i="3"/>
  <c r="Q44" i="3"/>
  <c r="R44" i="3"/>
  <c r="S44" i="3"/>
  <c r="T44" i="3"/>
  <c r="U44" i="3"/>
  <c r="V44" i="3"/>
  <c r="W44" i="3"/>
  <c r="X44" i="3"/>
  <c r="Y44" i="3"/>
  <c r="Z44" i="3"/>
  <c r="AA44" i="3"/>
  <c r="AB44" i="3"/>
  <c r="AC44" i="3"/>
  <c r="AD44" i="3"/>
  <c r="AE44" i="3"/>
  <c r="A45" i="3"/>
  <c r="B45" i="3"/>
  <c r="C45" i="3"/>
  <c r="D45" i="3"/>
  <c r="F45" i="3"/>
  <c r="G45" i="3"/>
  <c r="H45" i="3"/>
  <c r="I45" i="3"/>
  <c r="J45" i="3"/>
  <c r="K45" i="3"/>
  <c r="L45" i="3"/>
  <c r="M45" i="3"/>
  <c r="N45" i="3"/>
  <c r="O45" i="3"/>
  <c r="P45" i="3"/>
  <c r="Q45" i="3"/>
  <c r="R45" i="3"/>
  <c r="S45" i="3"/>
  <c r="T45" i="3"/>
  <c r="U45" i="3"/>
  <c r="V45" i="3"/>
  <c r="W45" i="3"/>
  <c r="X45" i="3"/>
  <c r="Y45" i="3"/>
  <c r="Z45" i="3"/>
  <c r="AA45" i="3"/>
  <c r="AB45" i="3"/>
  <c r="AC45" i="3"/>
  <c r="AD45" i="3"/>
  <c r="AE45" i="3"/>
  <c r="A46" i="3"/>
  <c r="B46" i="3"/>
  <c r="C46" i="3"/>
  <c r="D46" i="3"/>
  <c r="F46" i="3"/>
  <c r="G46" i="3"/>
  <c r="H46" i="3"/>
  <c r="I46" i="3"/>
  <c r="J46" i="3"/>
  <c r="K46" i="3"/>
  <c r="L46" i="3"/>
  <c r="M46" i="3"/>
  <c r="N46" i="3"/>
  <c r="O46" i="3"/>
  <c r="P46" i="3"/>
  <c r="Q46" i="3"/>
  <c r="R46" i="3"/>
  <c r="S46" i="3"/>
  <c r="T46" i="3"/>
  <c r="U46" i="3"/>
  <c r="V46" i="3"/>
  <c r="W46" i="3"/>
  <c r="X46" i="3"/>
  <c r="Y46" i="3"/>
  <c r="Z46" i="3"/>
  <c r="AA46" i="3"/>
  <c r="AB46" i="3"/>
  <c r="AC46" i="3"/>
  <c r="AD46" i="3"/>
  <c r="AE46" i="3"/>
  <c r="A47" i="3"/>
  <c r="B47" i="3"/>
  <c r="C47" i="3"/>
  <c r="D47" i="3"/>
  <c r="F47" i="3"/>
  <c r="G47" i="3"/>
  <c r="H47" i="3"/>
  <c r="I47" i="3"/>
  <c r="J47" i="3"/>
  <c r="K47" i="3"/>
  <c r="L47" i="3"/>
  <c r="M47" i="3"/>
  <c r="N47" i="3"/>
  <c r="O47" i="3"/>
  <c r="P47" i="3"/>
  <c r="Q47" i="3"/>
  <c r="R47" i="3"/>
  <c r="S47" i="3"/>
  <c r="T47" i="3"/>
  <c r="U47" i="3"/>
  <c r="V47" i="3"/>
  <c r="W47" i="3"/>
  <c r="X47" i="3"/>
  <c r="Y47" i="3"/>
  <c r="Z47" i="3"/>
  <c r="AA47" i="3"/>
  <c r="AB47" i="3"/>
  <c r="AC47" i="3"/>
  <c r="AD47" i="3"/>
  <c r="AE47" i="3"/>
  <c r="A48" i="3"/>
  <c r="B48" i="3"/>
  <c r="C48" i="3"/>
  <c r="D48" i="3"/>
  <c r="F48" i="3"/>
  <c r="G48" i="3"/>
  <c r="H48" i="3"/>
  <c r="I48" i="3"/>
  <c r="J48" i="3"/>
  <c r="K48" i="3"/>
  <c r="L48" i="3"/>
  <c r="M48" i="3"/>
  <c r="N48" i="3"/>
  <c r="O48" i="3"/>
  <c r="P48" i="3"/>
  <c r="Q48" i="3"/>
  <c r="R48" i="3"/>
  <c r="S48" i="3"/>
  <c r="T48" i="3"/>
  <c r="U48" i="3"/>
  <c r="V48" i="3"/>
  <c r="W48" i="3"/>
  <c r="X48" i="3"/>
  <c r="Y48" i="3"/>
  <c r="Z48" i="3"/>
  <c r="AA48" i="3"/>
  <c r="AB48" i="3"/>
  <c r="AC48" i="3"/>
  <c r="AD48" i="3"/>
  <c r="AE48" i="3"/>
  <c r="A49" i="3"/>
  <c r="B49" i="3"/>
  <c r="C49" i="3"/>
  <c r="D49" i="3"/>
  <c r="F49" i="3"/>
  <c r="G49" i="3"/>
  <c r="H49" i="3"/>
  <c r="I49" i="3"/>
  <c r="J49" i="3"/>
  <c r="K49" i="3"/>
  <c r="L49" i="3"/>
  <c r="M49" i="3"/>
  <c r="N49" i="3"/>
  <c r="O49" i="3"/>
  <c r="P49" i="3"/>
  <c r="Q49" i="3"/>
  <c r="R49" i="3"/>
  <c r="S49" i="3"/>
  <c r="T49" i="3"/>
  <c r="U49" i="3"/>
  <c r="V49" i="3"/>
  <c r="W49" i="3"/>
  <c r="X49" i="3"/>
  <c r="Y49" i="3"/>
  <c r="Z49" i="3"/>
  <c r="AA49" i="3"/>
  <c r="AB49" i="3"/>
  <c r="AC49" i="3"/>
  <c r="AD49" i="3"/>
  <c r="AE49" i="3"/>
  <c r="A50" i="3"/>
  <c r="B50" i="3"/>
  <c r="C50" i="3"/>
  <c r="D50" i="3"/>
  <c r="F50" i="3"/>
  <c r="G50" i="3"/>
  <c r="H50" i="3"/>
  <c r="I50" i="3"/>
  <c r="J50" i="3"/>
  <c r="K50" i="3"/>
  <c r="L50" i="3"/>
  <c r="M50" i="3"/>
  <c r="N50" i="3"/>
  <c r="O50" i="3"/>
  <c r="P50" i="3"/>
  <c r="Q50" i="3"/>
  <c r="R50" i="3"/>
  <c r="S50" i="3"/>
  <c r="T50" i="3"/>
  <c r="U50" i="3"/>
  <c r="V50" i="3"/>
  <c r="W50" i="3"/>
  <c r="X50" i="3"/>
  <c r="Y50" i="3"/>
  <c r="Z50" i="3"/>
  <c r="AA50" i="3"/>
  <c r="AB50" i="3"/>
  <c r="AC50" i="3"/>
  <c r="AD50" i="3"/>
  <c r="AE50" i="3"/>
  <c r="A51" i="3"/>
  <c r="B51" i="3"/>
  <c r="C51" i="3"/>
  <c r="D51" i="3"/>
  <c r="F51" i="3"/>
  <c r="G51" i="3"/>
  <c r="H51" i="3"/>
  <c r="I51" i="3"/>
  <c r="J51" i="3"/>
  <c r="K51" i="3"/>
  <c r="L51" i="3"/>
  <c r="M51" i="3"/>
  <c r="N51" i="3"/>
  <c r="O51" i="3"/>
  <c r="P51" i="3"/>
  <c r="Q51" i="3"/>
  <c r="R51" i="3"/>
  <c r="S51" i="3"/>
  <c r="T51" i="3"/>
  <c r="U51" i="3"/>
  <c r="V51" i="3"/>
  <c r="W51" i="3"/>
  <c r="X51" i="3"/>
  <c r="Y51" i="3"/>
  <c r="Z51" i="3"/>
  <c r="AA51" i="3"/>
  <c r="AB51" i="3"/>
  <c r="AC51" i="3"/>
  <c r="AD51" i="3"/>
  <c r="AE51" i="3"/>
  <c r="A52" i="3"/>
  <c r="B52" i="3"/>
  <c r="C52" i="3"/>
  <c r="D52" i="3"/>
  <c r="F52" i="3"/>
  <c r="G52" i="3"/>
  <c r="H52" i="3"/>
  <c r="I52" i="3"/>
  <c r="J52" i="3"/>
  <c r="K52" i="3"/>
  <c r="L52" i="3"/>
  <c r="M52" i="3"/>
  <c r="N52" i="3"/>
  <c r="O52" i="3"/>
  <c r="P52" i="3"/>
  <c r="Q52" i="3"/>
  <c r="R52" i="3"/>
  <c r="S52" i="3"/>
  <c r="T52" i="3"/>
  <c r="U52" i="3"/>
  <c r="V52" i="3"/>
  <c r="W52" i="3"/>
  <c r="X52" i="3"/>
  <c r="Y52" i="3"/>
  <c r="Z52" i="3"/>
  <c r="AA52" i="3"/>
  <c r="AB52" i="3"/>
  <c r="AC52" i="3"/>
  <c r="AD52" i="3"/>
  <c r="AE52" i="3"/>
  <c r="A53" i="3"/>
  <c r="B53" i="3"/>
  <c r="C53" i="3"/>
  <c r="D53" i="3"/>
  <c r="F53" i="3"/>
  <c r="G53" i="3"/>
  <c r="H53" i="3"/>
  <c r="I53" i="3"/>
  <c r="J53" i="3"/>
  <c r="K53" i="3"/>
  <c r="L53" i="3"/>
  <c r="M53" i="3"/>
  <c r="N53" i="3"/>
  <c r="O53" i="3"/>
  <c r="P53" i="3"/>
  <c r="Q53" i="3"/>
  <c r="R53" i="3"/>
  <c r="S53" i="3"/>
  <c r="T53" i="3"/>
  <c r="U53" i="3"/>
  <c r="V53" i="3"/>
  <c r="W53" i="3"/>
  <c r="X53" i="3"/>
  <c r="Y53" i="3"/>
  <c r="Z53" i="3"/>
  <c r="AA53" i="3"/>
  <c r="AB53" i="3"/>
  <c r="AC53" i="3"/>
  <c r="AD53" i="3"/>
  <c r="AE53" i="3"/>
  <c r="A54" i="3"/>
  <c r="B54" i="3"/>
  <c r="C54" i="3"/>
  <c r="D54" i="3"/>
  <c r="F54" i="3"/>
  <c r="G54" i="3"/>
  <c r="H54" i="3"/>
  <c r="I54" i="3"/>
  <c r="J54" i="3"/>
  <c r="K54" i="3"/>
  <c r="L54" i="3"/>
  <c r="M54" i="3"/>
  <c r="N54" i="3"/>
  <c r="O54" i="3"/>
  <c r="P54" i="3"/>
  <c r="Q54" i="3"/>
  <c r="R54" i="3"/>
  <c r="S54" i="3"/>
  <c r="T54" i="3"/>
  <c r="U54" i="3"/>
  <c r="V54" i="3"/>
  <c r="W54" i="3"/>
  <c r="X54" i="3"/>
  <c r="Y54" i="3"/>
  <c r="Z54" i="3"/>
  <c r="AA54" i="3"/>
  <c r="AB54" i="3"/>
  <c r="AC54" i="3"/>
  <c r="AD54" i="3"/>
  <c r="AE54" i="3"/>
  <c r="A55" i="3"/>
  <c r="B55" i="3"/>
  <c r="C55" i="3"/>
  <c r="D55" i="3"/>
  <c r="F55" i="3"/>
  <c r="G55" i="3"/>
  <c r="H55" i="3"/>
  <c r="I55" i="3"/>
  <c r="J55" i="3"/>
  <c r="K55" i="3"/>
  <c r="L55" i="3"/>
  <c r="M55" i="3"/>
  <c r="N55" i="3"/>
  <c r="O55" i="3"/>
  <c r="P55" i="3"/>
  <c r="Q55" i="3"/>
  <c r="R55" i="3"/>
  <c r="S55" i="3"/>
  <c r="T55" i="3"/>
  <c r="U55" i="3"/>
  <c r="V55" i="3"/>
  <c r="W55" i="3"/>
  <c r="X55" i="3"/>
  <c r="Y55" i="3"/>
  <c r="Z55" i="3"/>
  <c r="AA55" i="3"/>
  <c r="AB55" i="3"/>
  <c r="AC55" i="3"/>
  <c r="AD55" i="3"/>
  <c r="AE55" i="3"/>
  <c r="A56" i="3"/>
  <c r="B56" i="3"/>
  <c r="C56" i="3"/>
  <c r="D56" i="3"/>
  <c r="F56" i="3"/>
  <c r="G56" i="3"/>
  <c r="H56" i="3"/>
  <c r="I56" i="3"/>
  <c r="J56" i="3"/>
  <c r="K56" i="3"/>
  <c r="L56" i="3"/>
  <c r="M56" i="3"/>
  <c r="N56" i="3"/>
  <c r="O56" i="3"/>
  <c r="P56" i="3"/>
  <c r="Q56" i="3"/>
  <c r="R56" i="3"/>
  <c r="S56" i="3"/>
  <c r="T56" i="3"/>
  <c r="U56" i="3"/>
  <c r="V56" i="3"/>
  <c r="W56" i="3"/>
  <c r="X56" i="3"/>
  <c r="Y56" i="3"/>
  <c r="Z56" i="3"/>
  <c r="AA56" i="3"/>
  <c r="AB56" i="3"/>
  <c r="AC56" i="3"/>
  <c r="AD56" i="3"/>
  <c r="AE56" i="3"/>
  <c r="A57" i="3"/>
  <c r="B57" i="3"/>
  <c r="C57" i="3"/>
  <c r="D57" i="3"/>
  <c r="F57" i="3"/>
  <c r="G57" i="3"/>
  <c r="H57" i="3"/>
  <c r="I57" i="3"/>
  <c r="J57" i="3"/>
  <c r="K57" i="3"/>
  <c r="L57" i="3"/>
  <c r="M57" i="3"/>
  <c r="N57" i="3"/>
  <c r="O57" i="3"/>
  <c r="P57" i="3"/>
  <c r="Q57" i="3"/>
  <c r="R57" i="3"/>
  <c r="S57" i="3"/>
  <c r="T57" i="3"/>
  <c r="U57" i="3"/>
  <c r="V57" i="3"/>
  <c r="W57" i="3"/>
  <c r="X57" i="3"/>
  <c r="Y57" i="3"/>
  <c r="Z57" i="3"/>
  <c r="AA57" i="3"/>
  <c r="AB57" i="3"/>
  <c r="AC57" i="3"/>
  <c r="AD57" i="3"/>
  <c r="AE57" i="3"/>
  <c r="A58" i="3"/>
  <c r="B58" i="3"/>
  <c r="C58" i="3"/>
  <c r="D58" i="3"/>
  <c r="F58" i="3"/>
  <c r="G58" i="3"/>
  <c r="H58" i="3"/>
  <c r="I58" i="3"/>
  <c r="J58" i="3"/>
  <c r="K58" i="3"/>
  <c r="L58" i="3"/>
  <c r="M58" i="3"/>
  <c r="N58" i="3"/>
  <c r="O58" i="3"/>
  <c r="P58" i="3"/>
  <c r="Q58" i="3"/>
  <c r="R58" i="3"/>
  <c r="S58" i="3"/>
  <c r="T58" i="3"/>
  <c r="U58" i="3"/>
  <c r="V58" i="3"/>
  <c r="W58" i="3"/>
  <c r="X58" i="3"/>
  <c r="Y58" i="3"/>
  <c r="Z58" i="3"/>
  <c r="AA58" i="3"/>
  <c r="AB58" i="3"/>
  <c r="AC58" i="3"/>
  <c r="AD58" i="3"/>
  <c r="AE58" i="3"/>
  <c r="A59" i="3"/>
  <c r="B59" i="3"/>
  <c r="C59" i="3"/>
  <c r="D59" i="3"/>
  <c r="F59" i="3"/>
  <c r="G59" i="3"/>
  <c r="H59" i="3"/>
  <c r="I59" i="3"/>
  <c r="J59" i="3"/>
  <c r="K59" i="3"/>
  <c r="L59" i="3"/>
  <c r="M59" i="3"/>
  <c r="N59" i="3"/>
  <c r="O59" i="3"/>
  <c r="P59" i="3"/>
  <c r="Q59" i="3"/>
  <c r="R59" i="3"/>
  <c r="S59" i="3"/>
  <c r="T59" i="3"/>
  <c r="U59" i="3"/>
  <c r="V59" i="3"/>
  <c r="W59" i="3"/>
  <c r="X59" i="3"/>
  <c r="Y59" i="3"/>
  <c r="Z59" i="3"/>
  <c r="AA59" i="3"/>
  <c r="AB59" i="3"/>
  <c r="AC59" i="3"/>
  <c r="AD59" i="3"/>
  <c r="AE59" i="3"/>
  <c r="A60" i="3"/>
  <c r="B60" i="3"/>
  <c r="C60" i="3"/>
  <c r="D60" i="3"/>
  <c r="F60" i="3"/>
  <c r="G60" i="3"/>
  <c r="H60" i="3"/>
  <c r="I60" i="3"/>
  <c r="J60" i="3"/>
  <c r="K60" i="3"/>
  <c r="L60" i="3"/>
  <c r="M60" i="3"/>
  <c r="N60" i="3"/>
  <c r="O60" i="3"/>
  <c r="P60" i="3"/>
  <c r="Q60" i="3"/>
  <c r="R60" i="3"/>
  <c r="S60" i="3"/>
  <c r="T60" i="3"/>
  <c r="U60" i="3"/>
  <c r="V60" i="3"/>
  <c r="W60" i="3"/>
  <c r="X60" i="3"/>
  <c r="Y60" i="3"/>
  <c r="Z60" i="3"/>
  <c r="AA60" i="3"/>
  <c r="AB60" i="3"/>
  <c r="AC60" i="3"/>
  <c r="AD60" i="3"/>
  <c r="AE60" i="3"/>
  <c r="A61" i="3"/>
  <c r="B61" i="3"/>
  <c r="C61" i="3"/>
  <c r="D61" i="3"/>
  <c r="F61" i="3"/>
  <c r="G61" i="3"/>
  <c r="H61" i="3"/>
  <c r="I61" i="3"/>
  <c r="J61" i="3"/>
  <c r="K61" i="3"/>
  <c r="L61" i="3"/>
  <c r="M61" i="3"/>
  <c r="N61" i="3"/>
  <c r="O61" i="3"/>
  <c r="P61" i="3"/>
  <c r="Q61" i="3"/>
  <c r="R61" i="3"/>
  <c r="S61" i="3"/>
  <c r="T61" i="3"/>
  <c r="U61" i="3"/>
  <c r="V61" i="3"/>
  <c r="W61" i="3"/>
  <c r="X61" i="3"/>
  <c r="Y61" i="3"/>
  <c r="Z61" i="3"/>
  <c r="AA61" i="3"/>
  <c r="AB61" i="3"/>
  <c r="AC61" i="3"/>
  <c r="AD61" i="3"/>
  <c r="AE61" i="3"/>
  <c r="A62" i="3"/>
  <c r="B62" i="3"/>
  <c r="C62" i="3"/>
  <c r="D62" i="3"/>
  <c r="F62" i="3"/>
  <c r="G62" i="3"/>
  <c r="H62" i="3"/>
  <c r="I62" i="3"/>
  <c r="J62" i="3"/>
  <c r="K62" i="3"/>
  <c r="L62" i="3"/>
  <c r="M62" i="3"/>
  <c r="N62" i="3"/>
  <c r="O62" i="3"/>
  <c r="P62" i="3"/>
  <c r="Q62" i="3"/>
  <c r="R62" i="3"/>
  <c r="S62" i="3"/>
  <c r="T62" i="3"/>
  <c r="U62" i="3"/>
  <c r="V62" i="3"/>
  <c r="W62" i="3"/>
  <c r="X62" i="3"/>
  <c r="Y62" i="3"/>
  <c r="Z62" i="3"/>
  <c r="AA62" i="3"/>
  <c r="AB62" i="3"/>
  <c r="AC62" i="3"/>
  <c r="AD62" i="3"/>
  <c r="AE62" i="3"/>
  <c r="A63" i="3"/>
  <c r="B63" i="3"/>
  <c r="C63" i="3"/>
  <c r="D63" i="3"/>
  <c r="F63" i="3"/>
  <c r="G63" i="3"/>
  <c r="H63" i="3"/>
  <c r="I63" i="3"/>
  <c r="J63" i="3"/>
  <c r="K63" i="3"/>
  <c r="L63" i="3"/>
  <c r="M63" i="3"/>
  <c r="N63" i="3"/>
  <c r="O63" i="3"/>
  <c r="P63" i="3"/>
  <c r="Q63" i="3"/>
  <c r="R63" i="3"/>
  <c r="S63" i="3"/>
  <c r="T63" i="3"/>
  <c r="U63" i="3"/>
  <c r="V63" i="3"/>
  <c r="W63" i="3"/>
  <c r="X63" i="3"/>
  <c r="Y63" i="3"/>
  <c r="Z63" i="3"/>
  <c r="AA63" i="3"/>
  <c r="AB63" i="3"/>
  <c r="AC63" i="3"/>
  <c r="AD63" i="3"/>
  <c r="AE63" i="3"/>
  <c r="A64" i="3"/>
  <c r="B64" i="3"/>
  <c r="C64" i="3"/>
  <c r="D64" i="3"/>
  <c r="F64" i="3"/>
  <c r="G64" i="3"/>
  <c r="H64" i="3"/>
  <c r="I64" i="3"/>
  <c r="J64" i="3"/>
  <c r="K64" i="3"/>
  <c r="L64" i="3"/>
  <c r="M64" i="3"/>
  <c r="N64" i="3"/>
  <c r="O64" i="3"/>
  <c r="P64" i="3"/>
  <c r="Q64" i="3"/>
  <c r="R64" i="3"/>
  <c r="S64" i="3"/>
  <c r="T64" i="3"/>
  <c r="U64" i="3"/>
  <c r="V64" i="3"/>
  <c r="W64" i="3"/>
  <c r="X64" i="3"/>
  <c r="Y64" i="3"/>
  <c r="Z64" i="3"/>
  <c r="AA64" i="3"/>
  <c r="AB64" i="3"/>
  <c r="AC64" i="3"/>
  <c r="AD64" i="3"/>
  <c r="AE64" i="3"/>
  <c r="A65" i="3"/>
  <c r="B65" i="3"/>
  <c r="C65" i="3"/>
  <c r="D65" i="3"/>
  <c r="F65" i="3"/>
  <c r="G65" i="3"/>
  <c r="H65" i="3"/>
  <c r="I65" i="3"/>
  <c r="J65" i="3"/>
  <c r="K65" i="3"/>
  <c r="L65" i="3"/>
  <c r="M65" i="3"/>
  <c r="N65" i="3"/>
  <c r="O65" i="3"/>
  <c r="P65" i="3"/>
  <c r="Q65" i="3"/>
  <c r="R65" i="3"/>
  <c r="S65" i="3"/>
  <c r="T65" i="3"/>
  <c r="U65" i="3"/>
  <c r="V65" i="3"/>
  <c r="W65" i="3"/>
  <c r="X65" i="3"/>
  <c r="Y65" i="3"/>
  <c r="Z65" i="3"/>
  <c r="AA65" i="3"/>
  <c r="AB65" i="3"/>
  <c r="AC65" i="3"/>
  <c r="AD65" i="3"/>
  <c r="AE65" i="3"/>
  <c r="A66" i="3"/>
  <c r="B66" i="3"/>
  <c r="C66" i="3"/>
  <c r="D66" i="3"/>
  <c r="F66" i="3"/>
  <c r="G66" i="3"/>
  <c r="H66" i="3"/>
  <c r="I66" i="3"/>
  <c r="J66" i="3"/>
  <c r="K66" i="3"/>
  <c r="L66" i="3"/>
  <c r="M66" i="3"/>
  <c r="N66" i="3"/>
  <c r="O66" i="3"/>
  <c r="P66" i="3"/>
  <c r="Q66" i="3"/>
  <c r="R66" i="3"/>
  <c r="S66" i="3"/>
  <c r="T66" i="3"/>
  <c r="U66" i="3"/>
  <c r="V66" i="3"/>
  <c r="W66" i="3"/>
  <c r="X66" i="3"/>
  <c r="Y66" i="3"/>
  <c r="Z66" i="3"/>
  <c r="AA66" i="3"/>
  <c r="AB66" i="3"/>
  <c r="AC66" i="3"/>
  <c r="AD66" i="3"/>
  <c r="AE66" i="3"/>
  <c r="A67" i="3"/>
  <c r="B67" i="3"/>
  <c r="C67" i="3"/>
  <c r="D67" i="3"/>
  <c r="F67" i="3"/>
  <c r="G67" i="3"/>
  <c r="H67" i="3"/>
  <c r="I67" i="3"/>
  <c r="J67" i="3"/>
  <c r="K67" i="3"/>
  <c r="L67" i="3"/>
  <c r="M67" i="3"/>
  <c r="N67" i="3"/>
  <c r="O67" i="3"/>
  <c r="P67" i="3"/>
  <c r="Q67" i="3"/>
  <c r="R67" i="3"/>
  <c r="S67" i="3"/>
  <c r="T67" i="3"/>
  <c r="U67" i="3"/>
  <c r="V67" i="3"/>
  <c r="W67" i="3"/>
  <c r="X67" i="3"/>
  <c r="Y67" i="3"/>
  <c r="Z67" i="3"/>
  <c r="AA67" i="3"/>
  <c r="AB67" i="3"/>
  <c r="AC67" i="3"/>
  <c r="AD67" i="3"/>
  <c r="AE67" i="3"/>
  <c r="A68" i="3"/>
  <c r="B68" i="3"/>
  <c r="C68" i="3"/>
  <c r="D68" i="3"/>
  <c r="F68" i="3"/>
  <c r="G68" i="3"/>
  <c r="H68" i="3"/>
  <c r="I68" i="3"/>
  <c r="J68" i="3"/>
  <c r="K68" i="3"/>
  <c r="L68" i="3"/>
  <c r="M68" i="3"/>
  <c r="N68" i="3"/>
  <c r="O68" i="3"/>
  <c r="P68" i="3"/>
  <c r="Q68" i="3"/>
  <c r="R68" i="3"/>
  <c r="S68" i="3"/>
  <c r="T68" i="3"/>
  <c r="U68" i="3"/>
  <c r="V68" i="3"/>
  <c r="W68" i="3"/>
  <c r="X68" i="3"/>
  <c r="Y68" i="3"/>
  <c r="Z68" i="3"/>
  <c r="AA68" i="3"/>
  <c r="AB68" i="3"/>
  <c r="AC68" i="3"/>
  <c r="AD68" i="3"/>
  <c r="AE68" i="3"/>
  <c r="A69" i="3"/>
  <c r="B69" i="3"/>
  <c r="C69" i="3"/>
  <c r="D69" i="3"/>
  <c r="F69" i="3"/>
  <c r="G69" i="3"/>
  <c r="H69" i="3"/>
  <c r="I69" i="3"/>
  <c r="J69" i="3"/>
  <c r="K69" i="3"/>
  <c r="L69" i="3"/>
  <c r="M69" i="3"/>
  <c r="N69" i="3"/>
  <c r="O69" i="3"/>
  <c r="P69" i="3"/>
  <c r="Q69" i="3"/>
  <c r="R69" i="3"/>
  <c r="S69" i="3"/>
  <c r="T69" i="3"/>
  <c r="U69" i="3"/>
  <c r="V69" i="3"/>
  <c r="W69" i="3"/>
  <c r="X69" i="3"/>
  <c r="Y69" i="3"/>
  <c r="Z69" i="3"/>
  <c r="AA69" i="3"/>
  <c r="AB69" i="3"/>
  <c r="AC69" i="3"/>
  <c r="AD69" i="3"/>
  <c r="AE69" i="3"/>
  <c r="A70" i="3"/>
  <c r="B70" i="3"/>
  <c r="C70" i="3"/>
  <c r="D70" i="3"/>
  <c r="F70" i="3"/>
  <c r="G70" i="3"/>
  <c r="H70" i="3"/>
  <c r="I70" i="3"/>
  <c r="J70" i="3"/>
  <c r="K70" i="3"/>
  <c r="L70" i="3"/>
  <c r="M70" i="3"/>
  <c r="N70" i="3"/>
  <c r="O70" i="3"/>
  <c r="P70" i="3"/>
  <c r="Q70" i="3"/>
  <c r="R70" i="3"/>
  <c r="S70" i="3"/>
  <c r="T70" i="3"/>
  <c r="U70" i="3"/>
  <c r="V70" i="3"/>
  <c r="W70" i="3"/>
  <c r="X70" i="3"/>
  <c r="Y70" i="3"/>
  <c r="Z70" i="3"/>
  <c r="AA70" i="3"/>
  <c r="AB70" i="3"/>
  <c r="AC70" i="3"/>
  <c r="AD70" i="3"/>
  <c r="AE70" i="3"/>
  <c r="A71" i="3"/>
  <c r="B71" i="3"/>
  <c r="C71" i="3"/>
  <c r="D71" i="3"/>
  <c r="F71" i="3"/>
  <c r="G71" i="3"/>
  <c r="H71" i="3"/>
  <c r="I71" i="3"/>
  <c r="J71" i="3"/>
  <c r="K71" i="3"/>
  <c r="L71" i="3"/>
  <c r="M71" i="3"/>
  <c r="N71" i="3"/>
  <c r="O71" i="3"/>
  <c r="P71" i="3"/>
  <c r="Q71" i="3"/>
  <c r="R71" i="3"/>
  <c r="S71" i="3"/>
  <c r="T71" i="3"/>
  <c r="U71" i="3"/>
  <c r="V71" i="3"/>
  <c r="W71" i="3"/>
  <c r="X71" i="3"/>
  <c r="Y71" i="3"/>
  <c r="Z71" i="3"/>
  <c r="AA71" i="3"/>
  <c r="AB71" i="3"/>
  <c r="AC71" i="3"/>
  <c r="AD71" i="3"/>
  <c r="AE71" i="3"/>
  <c r="A72" i="3"/>
  <c r="B72" i="3"/>
  <c r="C72" i="3"/>
  <c r="D72" i="3"/>
  <c r="F72" i="3"/>
  <c r="G72" i="3"/>
  <c r="H72" i="3"/>
  <c r="I72" i="3"/>
  <c r="J72" i="3"/>
  <c r="K72" i="3"/>
  <c r="L72" i="3"/>
  <c r="M72" i="3"/>
  <c r="N72" i="3"/>
  <c r="O72" i="3"/>
  <c r="P72" i="3"/>
  <c r="Q72" i="3"/>
  <c r="R72" i="3"/>
  <c r="S72" i="3"/>
  <c r="T72" i="3"/>
  <c r="U72" i="3"/>
  <c r="V72" i="3"/>
  <c r="W72" i="3"/>
  <c r="X72" i="3"/>
  <c r="Y72" i="3"/>
  <c r="Z72" i="3"/>
  <c r="AA72" i="3"/>
  <c r="AB72" i="3"/>
  <c r="AC72" i="3"/>
  <c r="AD72" i="3"/>
  <c r="AE72" i="3"/>
  <c r="A73" i="3"/>
  <c r="B73" i="3"/>
  <c r="C73" i="3"/>
  <c r="D73" i="3"/>
  <c r="F73" i="3"/>
  <c r="G73" i="3"/>
  <c r="H73" i="3"/>
  <c r="I73" i="3"/>
  <c r="J73" i="3"/>
  <c r="K73" i="3"/>
  <c r="L73" i="3"/>
  <c r="M73" i="3"/>
  <c r="N73" i="3"/>
  <c r="O73" i="3"/>
  <c r="P73" i="3"/>
  <c r="Q73" i="3"/>
  <c r="R73" i="3"/>
  <c r="S73" i="3"/>
  <c r="T73" i="3"/>
  <c r="U73" i="3"/>
  <c r="V73" i="3"/>
  <c r="W73" i="3"/>
  <c r="X73" i="3"/>
  <c r="Y73" i="3"/>
  <c r="Z73" i="3"/>
  <c r="AA73" i="3"/>
  <c r="AB73" i="3"/>
  <c r="AC73" i="3"/>
  <c r="AD73" i="3"/>
  <c r="AE73" i="3"/>
  <c r="A74" i="3"/>
  <c r="B74" i="3"/>
  <c r="C74" i="3"/>
  <c r="D74" i="3"/>
  <c r="F74" i="3"/>
  <c r="G74" i="3"/>
  <c r="H74" i="3"/>
  <c r="I74" i="3"/>
  <c r="J74" i="3"/>
  <c r="K74" i="3"/>
  <c r="L74" i="3"/>
  <c r="M74" i="3"/>
  <c r="N74" i="3"/>
  <c r="O74" i="3"/>
  <c r="P74" i="3"/>
  <c r="Q74" i="3"/>
  <c r="R74" i="3"/>
  <c r="S74" i="3"/>
  <c r="T74" i="3"/>
  <c r="U74" i="3"/>
  <c r="V74" i="3"/>
  <c r="W74" i="3"/>
  <c r="X74" i="3"/>
  <c r="Y74" i="3"/>
  <c r="Z74" i="3"/>
  <c r="AA74" i="3"/>
  <c r="AB74" i="3"/>
  <c r="AC74" i="3"/>
  <c r="AD74" i="3"/>
  <c r="AE74" i="3"/>
  <c r="A75" i="3"/>
  <c r="B75" i="3"/>
  <c r="C75" i="3"/>
  <c r="D75" i="3"/>
  <c r="F75" i="3"/>
  <c r="G75" i="3"/>
  <c r="H75" i="3"/>
  <c r="I75" i="3"/>
  <c r="J75" i="3"/>
  <c r="K75" i="3"/>
  <c r="L75" i="3"/>
  <c r="M75" i="3"/>
  <c r="N75" i="3"/>
  <c r="O75" i="3"/>
  <c r="P75" i="3"/>
  <c r="Q75" i="3"/>
  <c r="R75" i="3"/>
  <c r="S75" i="3"/>
  <c r="T75" i="3"/>
  <c r="U75" i="3"/>
  <c r="V75" i="3"/>
  <c r="W75" i="3"/>
  <c r="X75" i="3"/>
  <c r="Y75" i="3"/>
  <c r="Z75" i="3"/>
  <c r="AA75" i="3"/>
  <c r="AB75" i="3"/>
  <c r="AC75" i="3"/>
  <c r="AD75" i="3"/>
  <c r="AE75" i="3"/>
  <c r="A76" i="3"/>
  <c r="B76" i="3"/>
  <c r="C76" i="3"/>
  <c r="D76" i="3"/>
  <c r="F76" i="3"/>
  <c r="G76" i="3"/>
  <c r="H76" i="3"/>
  <c r="I76" i="3"/>
  <c r="J76" i="3"/>
  <c r="K76" i="3"/>
  <c r="L76" i="3"/>
  <c r="M76" i="3"/>
  <c r="N76" i="3"/>
  <c r="O76" i="3"/>
  <c r="P76" i="3"/>
  <c r="Q76" i="3"/>
  <c r="R76" i="3"/>
  <c r="S76" i="3"/>
  <c r="T76" i="3"/>
  <c r="U76" i="3"/>
  <c r="V76" i="3"/>
  <c r="W76" i="3"/>
  <c r="X76" i="3"/>
  <c r="Y76" i="3"/>
  <c r="Z76" i="3"/>
  <c r="AA76" i="3"/>
  <c r="AB76" i="3"/>
  <c r="AC76" i="3"/>
  <c r="AD76" i="3"/>
  <c r="AE76" i="3"/>
  <c r="A77" i="3"/>
  <c r="B77" i="3"/>
  <c r="C77" i="3"/>
  <c r="D77" i="3"/>
  <c r="A78" i="3"/>
  <c r="B78" i="3"/>
  <c r="C78" i="3"/>
  <c r="D78" i="3"/>
  <c r="F78" i="3"/>
  <c r="G78" i="3"/>
  <c r="H78" i="3"/>
  <c r="I78" i="3"/>
  <c r="J78" i="3"/>
  <c r="K78" i="3"/>
  <c r="L78" i="3"/>
  <c r="M78" i="3"/>
  <c r="N78" i="3"/>
  <c r="O78" i="3"/>
  <c r="P78" i="3"/>
  <c r="Q78" i="3"/>
  <c r="R78" i="3"/>
  <c r="S78" i="3"/>
  <c r="T78" i="3"/>
  <c r="U78" i="3"/>
  <c r="V78" i="3"/>
  <c r="W78" i="3"/>
  <c r="X78" i="3"/>
  <c r="Y78" i="3"/>
  <c r="Z78" i="3"/>
  <c r="AA78" i="3"/>
  <c r="AB78" i="3"/>
  <c r="AC78" i="3"/>
  <c r="AD78" i="3"/>
  <c r="AE78" i="3"/>
  <c r="A79" i="3"/>
  <c r="B79" i="3"/>
  <c r="C79" i="3"/>
  <c r="D79" i="3"/>
  <c r="F79" i="3"/>
  <c r="G79" i="3"/>
  <c r="H79" i="3"/>
  <c r="I79" i="3"/>
  <c r="J79" i="3"/>
  <c r="K79" i="3"/>
  <c r="L79" i="3"/>
  <c r="M79" i="3"/>
  <c r="N79" i="3"/>
  <c r="O79" i="3"/>
  <c r="P79" i="3"/>
  <c r="Q79" i="3"/>
  <c r="R79" i="3"/>
  <c r="S79" i="3"/>
  <c r="T79" i="3"/>
  <c r="U79" i="3"/>
  <c r="V79" i="3"/>
  <c r="W79" i="3"/>
  <c r="X79" i="3"/>
  <c r="Y79" i="3"/>
  <c r="Z79" i="3"/>
  <c r="AA79" i="3"/>
  <c r="AB79" i="3"/>
  <c r="AC79" i="3"/>
  <c r="AD79" i="3"/>
  <c r="AE79" i="3"/>
  <c r="A80" i="3"/>
  <c r="B80" i="3"/>
  <c r="C80" i="3"/>
  <c r="D80" i="3"/>
  <c r="F80" i="3"/>
  <c r="G80" i="3"/>
  <c r="H80" i="3"/>
  <c r="I80" i="3"/>
  <c r="J80" i="3"/>
  <c r="K80" i="3"/>
  <c r="L80" i="3"/>
  <c r="M80" i="3"/>
  <c r="N80" i="3"/>
  <c r="O80" i="3"/>
  <c r="P80" i="3"/>
  <c r="Q80" i="3"/>
  <c r="R80" i="3"/>
  <c r="S80" i="3"/>
  <c r="T80" i="3"/>
  <c r="U80" i="3"/>
  <c r="V80" i="3"/>
  <c r="W80" i="3"/>
  <c r="X80" i="3"/>
  <c r="Y80" i="3"/>
  <c r="Z80" i="3"/>
  <c r="AA80" i="3"/>
  <c r="AB80" i="3"/>
  <c r="AC80" i="3"/>
  <c r="AD80" i="3"/>
  <c r="AE80" i="3"/>
  <c r="A81" i="3"/>
  <c r="B81" i="3"/>
  <c r="C81" i="3"/>
  <c r="D81" i="3"/>
  <c r="F81" i="3"/>
  <c r="G81" i="3"/>
  <c r="H81" i="3"/>
  <c r="I81" i="3"/>
  <c r="J81" i="3"/>
  <c r="K81" i="3"/>
  <c r="L81" i="3"/>
  <c r="M81" i="3"/>
  <c r="N81" i="3"/>
  <c r="O81" i="3"/>
  <c r="P81" i="3"/>
  <c r="Q81" i="3"/>
  <c r="R81" i="3"/>
  <c r="S81" i="3"/>
  <c r="T81" i="3"/>
  <c r="U81" i="3"/>
  <c r="V81" i="3"/>
  <c r="W81" i="3"/>
  <c r="X81" i="3"/>
  <c r="Y81" i="3"/>
  <c r="Z81" i="3"/>
  <c r="AA81" i="3"/>
  <c r="AB81" i="3"/>
  <c r="AC81" i="3"/>
  <c r="AD81" i="3"/>
  <c r="AE81" i="3"/>
  <c r="A82" i="3"/>
  <c r="B82" i="3"/>
  <c r="C82" i="3"/>
  <c r="D82" i="3"/>
  <c r="F82" i="3"/>
  <c r="G82" i="3"/>
  <c r="H82" i="3"/>
  <c r="I82" i="3"/>
  <c r="J82" i="3"/>
  <c r="K82" i="3"/>
  <c r="L82" i="3"/>
  <c r="M82" i="3"/>
  <c r="N82" i="3"/>
  <c r="O82" i="3"/>
  <c r="P82" i="3"/>
  <c r="Q82" i="3"/>
  <c r="R82" i="3"/>
  <c r="S82" i="3"/>
  <c r="T82" i="3"/>
  <c r="U82" i="3"/>
  <c r="V82" i="3"/>
  <c r="W82" i="3"/>
  <c r="X82" i="3"/>
  <c r="Y82" i="3"/>
  <c r="Z82" i="3"/>
  <c r="AA82" i="3"/>
  <c r="AB82" i="3"/>
  <c r="AC82" i="3"/>
  <c r="AD82" i="3"/>
  <c r="AE82" i="3"/>
  <c r="A83" i="3"/>
  <c r="B83" i="3"/>
  <c r="C83" i="3"/>
  <c r="D83" i="3"/>
  <c r="F83" i="3"/>
  <c r="G83" i="3"/>
  <c r="H83" i="3"/>
  <c r="I83" i="3"/>
  <c r="J83" i="3"/>
  <c r="K83" i="3"/>
  <c r="L83" i="3"/>
  <c r="M83" i="3"/>
  <c r="N83" i="3"/>
  <c r="O83" i="3"/>
  <c r="P83" i="3"/>
  <c r="Q83" i="3"/>
  <c r="R83" i="3"/>
  <c r="S83" i="3"/>
  <c r="T83" i="3"/>
  <c r="U83" i="3"/>
  <c r="V83" i="3"/>
  <c r="W83" i="3"/>
  <c r="X83" i="3"/>
  <c r="Y83" i="3"/>
  <c r="Z83" i="3"/>
  <c r="AA83" i="3"/>
  <c r="AB83" i="3"/>
  <c r="AC83" i="3"/>
  <c r="AD83" i="3"/>
  <c r="AE83" i="3"/>
  <c r="A84" i="3"/>
  <c r="B84" i="3"/>
  <c r="C84" i="3"/>
  <c r="D84" i="3"/>
  <c r="F84" i="3"/>
  <c r="G84" i="3"/>
  <c r="H84" i="3"/>
  <c r="I84" i="3"/>
  <c r="J84" i="3"/>
  <c r="K84" i="3"/>
  <c r="L84" i="3"/>
  <c r="M84" i="3"/>
  <c r="N84" i="3"/>
  <c r="O84" i="3"/>
  <c r="P84" i="3"/>
  <c r="Q84" i="3"/>
  <c r="R84" i="3"/>
  <c r="S84" i="3"/>
  <c r="T84" i="3"/>
  <c r="U84" i="3"/>
  <c r="V84" i="3"/>
  <c r="W84" i="3"/>
  <c r="X84" i="3"/>
  <c r="Y84" i="3"/>
  <c r="Z84" i="3"/>
  <c r="AA84" i="3"/>
  <c r="AB84" i="3"/>
  <c r="AC84" i="3"/>
  <c r="AD84" i="3"/>
  <c r="AE84" i="3"/>
  <c r="A85" i="3"/>
  <c r="B85" i="3"/>
  <c r="C85" i="3"/>
  <c r="D85" i="3"/>
  <c r="F85" i="3"/>
  <c r="G85" i="3"/>
  <c r="H85" i="3"/>
  <c r="I85" i="3"/>
  <c r="J85" i="3"/>
  <c r="K85" i="3"/>
  <c r="L85" i="3"/>
  <c r="M85" i="3"/>
  <c r="N85" i="3"/>
  <c r="O85" i="3"/>
  <c r="P85" i="3"/>
  <c r="Q85" i="3"/>
  <c r="R85" i="3"/>
  <c r="S85" i="3"/>
  <c r="T85" i="3"/>
  <c r="U85" i="3"/>
  <c r="V85" i="3"/>
  <c r="W85" i="3"/>
  <c r="X85" i="3"/>
  <c r="Y85" i="3"/>
  <c r="Z85" i="3"/>
  <c r="AA85" i="3"/>
  <c r="AB85" i="3"/>
  <c r="AC85" i="3"/>
  <c r="AD85" i="3"/>
  <c r="AE85" i="3"/>
  <c r="A86" i="3"/>
  <c r="B86" i="3"/>
  <c r="C86" i="3"/>
  <c r="D86" i="3"/>
  <c r="F86" i="3"/>
  <c r="G86" i="3"/>
  <c r="H86" i="3"/>
  <c r="I86" i="3"/>
  <c r="J86" i="3"/>
  <c r="K86" i="3"/>
  <c r="L86" i="3"/>
  <c r="M86" i="3"/>
  <c r="N86" i="3"/>
  <c r="O86" i="3"/>
  <c r="P86" i="3"/>
  <c r="Q86" i="3"/>
  <c r="R86" i="3"/>
  <c r="S86" i="3"/>
  <c r="T86" i="3"/>
  <c r="U86" i="3"/>
  <c r="V86" i="3"/>
  <c r="W86" i="3"/>
  <c r="X86" i="3"/>
  <c r="Y86" i="3"/>
  <c r="Z86" i="3"/>
  <c r="AA86" i="3"/>
  <c r="AB86" i="3"/>
  <c r="AC86" i="3"/>
  <c r="AD86" i="3"/>
  <c r="AE86" i="3"/>
  <c r="A87" i="3"/>
  <c r="B87" i="3"/>
  <c r="C87" i="3"/>
  <c r="D87" i="3"/>
  <c r="F87" i="3"/>
  <c r="G87" i="3"/>
  <c r="H87" i="3"/>
  <c r="I87" i="3"/>
  <c r="J87" i="3"/>
  <c r="K87" i="3"/>
  <c r="L87" i="3"/>
  <c r="M87" i="3"/>
  <c r="N87" i="3"/>
  <c r="O87" i="3"/>
  <c r="P87" i="3"/>
  <c r="Q87" i="3"/>
  <c r="R87" i="3"/>
  <c r="S87" i="3"/>
  <c r="T87" i="3"/>
  <c r="U87" i="3"/>
  <c r="V87" i="3"/>
  <c r="W87" i="3"/>
  <c r="X87" i="3"/>
  <c r="Y87" i="3"/>
  <c r="Z87" i="3"/>
  <c r="AA87" i="3"/>
  <c r="AB87" i="3"/>
  <c r="AC87" i="3"/>
  <c r="AD87" i="3"/>
  <c r="AE87" i="3"/>
  <c r="A88" i="3"/>
  <c r="B88" i="3"/>
  <c r="C88" i="3"/>
  <c r="D88" i="3"/>
  <c r="F88" i="3"/>
  <c r="G88" i="3"/>
  <c r="H88" i="3"/>
  <c r="I88" i="3"/>
  <c r="J88" i="3"/>
  <c r="K88" i="3"/>
  <c r="L88" i="3"/>
  <c r="M88" i="3"/>
  <c r="N88" i="3"/>
  <c r="O88" i="3"/>
  <c r="P88" i="3"/>
  <c r="Q88" i="3"/>
  <c r="R88" i="3"/>
  <c r="S88" i="3"/>
  <c r="T88" i="3"/>
  <c r="U88" i="3"/>
  <c r="V88" i="3"/>
  <c r="W88" i="3"/>
  <c r="X88" i="3"/>
  <c r="Y88" i="3"/>
  <c r="Z88" i="3"/>
  <c r="AA88" i="3"/>
  <c r="AB88" i="3"/>
  <c r="AC88" i="3"/>
  <c r="AD88" i="3"/>
  <c r="AE88" i="3"/>
  <c r="A89" i="3"/>
  <c r="B89" i="3"/>
  <c r="C89" i="3"/>
  <c r="D89" i="3"/>
  <c r="G89" i="3"/>
  <c r="H89" i="3"/>
  <c r="I89" i="3"/>
  <c r="J89" i="3"/>
  <c r="K89" i="3"/>
  <c r="L89" i="3"/>
  <c r="M89" i="3"/>
  <c r="N89" i="3"/>
  <c r="O89" i="3"/>
  <c r="Q89" i="3"/>
  <c r="V89" i="3"/>
  <c r="W89" i="3"/>
  <c r="Y89" i="3"/>
  <c r="A90" i="3"/>
  <c r="B90" i="3"/>
  <c r="C90" i="3"/>
  <c r="D90" i="3"/>
  <c r="A91" i="3"/>
  <c r="B91" i="3"/>
  <c r="C91" i="3"/>
  <c r="D91" i="3"/>
  <c r="F91" i="3"/>
  <c r="G91" i="3"/>
  <c r="H91" i="3"/>
  <c r="I91" i="3"/>
  <c r="J91" i="3"/>
  <c r="K91" i="3"/>
  <c r="L91" i="3"/>
  <c r="M91" i="3"/>
  <c r="N91" i="3"/>
  <c r="O91" i="3"/>
  <c r="P91" i="3"/>
  <c r="Q91" i="3"/>
  <c r="R91" i="3"/>
  <c r="S91" i="3"/>
  <c r="T91" i="3"/>
  <c r="U91" i="3"/>
  <c r="V91" i="3"/>
  <c r="W91" i="3"/>
  <c r="X91" i="3"/>
  <c r="Y91" i="3"/>
  <c r="Z91" i="3"/>
  <c r="AA91" i="3"/>
  <c r="AB91" i="3"/>
  <c r="AC91" i="3"/>
  <c r="AD91" i="3"/>
  <c r="AE91" i="3"/>
  <c r="A92" i="3"/>
  <c r="B92" i="3"/>
  <c r="C92" i="3"/>
  <c r="D92" i="3"/>
  <c r="F92" i="3"/>
  <c r="G92" i="3"/>
  <c r="H92" i="3"/>
  <c r="I92" i="3"/>
  <c r="J92" i="3"/>
  <c r="K92" i="3"/>
  <c r="L92" i="3"/>
  <c r="M92" i="3"/>
  <c r="N92" i="3"/>
  <c r="O92" i="3"/>
  <c r="P92" i="3"/>
  <c r="Q92" i="3"/>
  <c r="R92" i="3"/>
  <c r="S92" i="3"/>
  <c r="T92" i="3"/>
  <c r="U92" i="3"/>
  <c r="V92" i="3"/>
  <c r="W92" i="3"/>
  <c r="X92" i="3"/>
  <c r="Y92" i="3"/>
  <c r="Z92" i="3"/>
  <c r="AA92" i="3"/>
  <c r="AB92" i="3"/>
  <c r="AC92" i="3"/>
  <c r="AD92" i="3"/>
  <c r="AE92" i="3"/>
  <c r="A93" i="3"/>
  <c r="B93" i="3"/>
  <c r="C93" i="3"/>
  <c r="D93" i="3"/>
  <c r="F93" i="3"/>
  <c r="G93" i="3"/>
  <c r="H93" i="3"/>
  <c r="I93" i="3"/>
  <c r="J93" i="3"/>
  <c r="K93" i="3"/>
  <c r="L93" i="3"/>
  <c r="M93" i="3"/>
  <c r="N93" i="3"/>
  <c r="O93" i="3"/>
  <c r="P93" i="3"/>
  <c r="Q93" i="3"/>
  <c r="R93" i="3"/>
  <c r="S93" i="3"/>
  <c r="T93" i="3"/>
  <c r="U93" i="3"/>
  <c r="V93" i="3"/>
  <c r="W93" i="3"/>
  <c r="X93" i="3"/>
  <c r="Y93" i="3"/>
  <c r="Z93" i="3"/>
  <c r="AA93" i="3"/>
  <c r="AB93" i="3"/>
  <c r="AC93" i="3"/>
  <c r="AD93" i="3"/>
  <c r="AE93" i="3"/>
  <c r="A94" i="3"/>
  <c r="B94" i="3"/>
  <c r="C94" i="3"/>
  <c r="D94" i="3"/>
  <c r="F94" i="3"/>
  <c r="G94" i="3"/>
  <c r="H94" i="3"/>
  <c r="I94" i="3"/>
  <c r="J94" i="3"/>
  <c r="K94" i="3"/>
  <c r="L94" i="3"/>
  <c r="M94" i="3"/>
  <c r="N94" i="3"/>
  <c r="O94" i="3"/>
  <c r="P94" i="3"/>
  <c r="Q94" i="3"/>
  <c r="R94" i="3"/>
  <c r="S94" i="3"/>
  <c r="T94" i="3"/>
  <c r="U94" i="3"/>
  <c r="V94" i="3"/>
  <c r="W94" i="3"/>
  <c r="X94" i="3"/>
  <c r="Y94" i="3"/>
  <c r="Z94" i="3"/>
  <c r="AA94" i="3"/>
  <c r="AB94" i="3"/>
  <c r="AC94" i="3"/>
  <c r="AD94" i="3"/>
  <c r="AE94" i="3"/>
  <c r="A95" i="3"/>
  <c r="B95" i="3"/>
  <c r="C95" i="3"/>
  <c r="D95" i="3"/>
  <c r="F95" i="3"/>
  <c r="G95" i="3"/>
  <c r="H95" i="3"/>
  <c r="I95" i="3"/>
  <c r="J95" i="3"/>
  <c r="K95" i="3"/>
  <c r="L95" i="3"/>
  <c r="M95" i="3"/>
  <c r="N95" i="3"/>
  <c r="O95" i="3"/>
  <c r="P95" i="3"/>
  <c r="Q95" i="3"/>
  <c r="R95" i="3"/>
  <c r="S95" i="3"/>
  <c r="T95" i="3"/>
  <c r="U95" i="3"/>
  <c r="V95" i="3"/>
  <c r="W95" i="3"/>
  <c r="X95" i="3"/>
  <c r="Y95" i="3"/>
  <c r="Z95" i="3"/>
  <c r="AA95" i="3"/>
  <c r="AB95" i="3"/>
  <c r="AC95" i="3"/>
  <c r="AD95" i="3"/>
  <c r="AE95" i="3"/>
  <c r="A96" i="3"/>
  <c r="B96" i="3"/>
  <c r="C96" i="3"/>
  <c r="D96" i="3"/>
  <c r="F96" i="3"/>
  <c r="G96" i="3"/>
  <c r="H96" i="3"/>
  <c r="I96" i="3"/>
  <c r="J96" i="3"/>
  <c r="K96" i="3"/>
  <c r="L96" i="3"/>
  <c r="M96" i="3"/>
  <c r="N96" i="3"/>
  <c r="O96" i="3"/>
  <c r="P96" i="3"/>
  <c r="Q96" i="3"/>
  <c r="R96" i="3"/>
  <c r="S96" i="3"/>
  <c r="T96" i="3"/>
  <c r="U96" i="3"/>
  <c r="V96" i="3"/>
  <c r="W96" i="3"/>
  <c r="X96" i="3"/>
  <c r="Y96" i="3"/>
  <c r="Z96" i="3"/>
  <c r="AA96" i="3"/>
  <c r="AB96" i="3"/>
  <c r="AC96" i="3"/>
  <c r="AD96" i="3"/>
  <c r="AE96" i="3"/>
  <c r="A97" i="3"/>
  <c r="B97" i="3"/>
  <c r="C97" i="3"/>
  <c r="D97" i="3"/>
  <c r="F97" i="3"/>
  <c r="G97" i="3"/>
  <c r="H97" i="3"/>
  <c r="I97" i="3"/>
  <c r="J97" i="3"/>
  <c r="K97" i="3"/>
  <c r="L97" i="3"/>
  <c r="M97" i="3"/>
  <c r="N97" i="3"/>
  <c r="O97" i="3"/>
  <c r="P97" i="3"/>
  <c r="Q97" i="3"/>
  <c r="R97" i="3"/>
  <c r="S97" i="3"/>
  <c r="T97" i="3"/>
  <c r="U97" i="3"/>
  <c r="V97" i="3"/>
  <c r="W97" i="3"/>
  <c r="X97" i="3"/>
  <c r="Y97" i="3"/>
  <c r="Z97" i="3"/>
  <c r="AA97" i="3"/>
  <c r="AB97" i="3"/>
  <c r="AC97" i="3"/>
  <c r="AD97" i="3"/>
  <c r="AE97" i="3"/>
  <c r="A98" i="3"/>
  <c r="B98" i="3"/>
  <c r="C98" i="3"/>
  <c r="D98" i="3"/>
  <c r="F98" i="3"/>
  <c r="G98" i="3"/>
  <c r="H98" i="3"/>
  <c r="I98" i="3"/>
  <c r="J98" i="3"/>
  <c r="K98" i="3"/>
  <c r="L98" i="3"/>
  <c r="M98" i="3"/>
  <c r="N98" i="3"/>
  <c r="O98" i="3"/>
  <c r="P98" i="3"/>
  <c r="Q98" i="3"/>
  <c r="R98" i="3"/>
  <c r="S98" i="3"/>
  <c r="T98" i="3"/>
  <c r="U98" i="3"/>
  <c r="V98" i="3"/>
  <c r="W98" i="3"/>
  <c r="X98" i="3"/>
  <c r="Y98" i="3"/>
  <c r="Z98" i="3"/>
  <c r="AA98" i="3"/>
  <c r="AB98" i="3"/>
  <c r="AC98" i="3"/>
  <c r="AD98" i="3"/>
  <c r="AE98" i="3"/>
  <c r="A99" i="3"/>
  <c r="B99" i="3"/>
  <c r="C99" i="3"/>
  <c r="D99" i="3"/>
  <c r="F99" i="3"/>
  <c r="G99" i="3"/>
  <c r="H99" i="3"/>
  <c r="I99" i="3"/>
  <c r="J99" i="3"/>
  <c r="K99" i="3"/>
  <c r="L99" i="3"/>
  <c r="M99" i="3"/>
  <c r="N99" i="3"/>
  <c r="O99" i="3"/>
  <c r="P99" i="3"/>
  <c r="Q99" i="3"/>
  <c r="R99" i="3"/>
  <c r="S99" i="3"/>
  <c r="T99" i="3"/>
  <c r="U99" i="3"/>
  <c r="V99" i="3"/>
  <c r="W99" i="3"/>
  <c r="X99" i="3"/>
  <c r="Y99" i="3"/>
  <c r="Z99" i="3"/>
  <c r="AA99" i="3"/>
  <c r="AB99" i="3"/>
  <c r="AC99" i="3"/>
  <c r="AD99" i="3"/>
  <c r="AE99" i="3"/>
  <c r="A100" i="3"/>
  <c r="B100" i="3"/>
  <c r="C100" i="3"/>
  <c r="D100" i="3"/>
  <c r="F100" i="3"/>
  <c r="G100" i="3"/>
  <c r="H100" i="3"/>
  <c r="I100" i="3"/>
  <c r="J100" i="3"/>
  <c r="K100" i="3"/>
  <c r="L100" i="3"/>
  <c r="M100" i="3"/>
  <c r="N100" i="3"/>
  <c r="O100" i="3"/>
  <c r="P100" i="3"/>
  <c r="Q100" i="3"/>
  <c r="R100" i="3"/>
  <c r="S100" i="3"/>
  <c r="T100" i="3"/>
  <c r="U100" i="3"/>
  <c r="V100" i="3"/>
  <c r="W100" i="3"/>
  <c r="X100" i="3"/>
  <c r="Y100" i="3"/>
  <c r="Z100" i="3"/>
  <c r="AA100" i="3"/>
  <c r="AB100" i="3"/>
  <c r="AC100" i="3"/>
  <c r="AD100" i="3"/>
  <c r="AE100" i="3"/>
  <c r="A101" i="3"/>
  <c r="B101" i="3"/>
  <c r="C101" i="3"/>
  <c r="D101" i="3"/>
  <c r="F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102" i="3"/>
  <c r="B102" i="3"/>
  <c r="C102" i="3"/>
  <c r="D102" i="3"/>
  <c r="F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103" i="3"/>
  <c r="B103" i="3"/>
  <c r="C103" i="3"/>
  <c r="D103" i="3"/>
  <c r="F103" i="3"/>
  <c r="G103" i="3"/>
  <c r="H103" i="3"/>
  <c r="I103" i="3"/>
  <c r="J103" i="3"/>
  <c r="K103" i="3"/>
  <c r="L103" i="3"/>
  <c r="M103" i="3"/>
  <c r="N103" i="3"/>
  <c r="O103" i="3"/>
  <c r="P103" i="3"/>
  <c r="Q103" i="3"/>
  <c r="R103" i="3"/>
  <c r="S103" i="3"/>
  <c r="T103" i="3"/>
  <c r="U103" i="3"/>
  <c r="V103" i="3"/>
  <c r="W103" i="3"/>
  <c r="X103" i="3"/>
  <c r="Y103" i="3"/>
  <c r="Z103" i="3"/>
  <c r="AA103" i="3"/>
  <c r="AB103" i="3"/>
  <c r="AC103" i="3"/>
  <c r="AD103" i="3"/>
  <c r="AE103" i="3"/>
  <c r="A104" i="3"/>
  <c r="B104" i="3"/>
  <c r="C104" i="3"/>
  <c r="D104" i="3"/>
  <c r="F104" i="3"/>
  <c r="G104" i="3"/>
  <c r="H104" i="3"/>
  <c r="I104" i="3"/>
  <c r="J104" i="3"/>
  <c r="K104" i="3"/>
  <c r="L104" i="3"/>
  <c r="M104" i="3"/>
  <c r="N104" i="3"/>
  <c r="O104" i="3"/>
  <c r="P104" i="3"/>
  <c r="Q104" i="3"/>
  <c r="R104" i="3"/>
  <c r="S104" i="3"/>
  <c r="T104" i="3"/>
  <c r="U104" i="3"/>
  <c r="V104" i="3"/>
  <c r="W104" i="3"/>
  <c r="X104" i="3"/>
  <c r="Y104" i="3"/>
  <c r="Z104" i="3"/>
  <c r="AA104" i="3"/>
  <c r="AB104" i="3"/>
  <c r="AC104" i="3"/>
  <c r="AD104" i="3"/>
  <c r="AE104" i="3"/>
  <c r="A105" i="3"/>
  <c r="B105" i="3"/>
  <c r="C105" i="3"/>
  <c r="D105" i="3"/>
  <c r="F105" i="3"/>
  <c r="G105" i="3"/>
  <c r="H105" i="3"/>
  <c r="I105" i="3"/>
  <c r="J105" i="3"/>
  <c r="K105" i="3"/>
  <c r="L105" i="3"/>
  <c r="M105" i="3"/>
  <c r="N105" i="3"/>
  <c r="O105" i="3"/>
  <c r="P105" i="3"/>
  <c r="Q105" i="3"/>
  <c r="R105" i="3"/>
  <c r="S105" i="3"/>
  <c r="T105" i="3"/>
  <c r="U105" i="3"/>
  <c r="V105" i="3"/>
  <c r="W105" i="3"/>
  <c r="X105" i="3"/>
  <c r="Y105" i="3"/>
  <c r="Z105" i="3"/>
  <c r="AA105" i="3"/>
  <c r="AB105" i="3"/>
  <c r="AC105" i="3"/>
  <c r="AD105" i="3"/>
  <c r="AE105" i="3"/>
  <c r="A106" i="3"/>
  <c r="B106" i="3"/>
  <c r="C106" i="3"/>
  <c r="D106" i="3"/>
  <c r="F106" i="3"/>
  <c r="G106" i="3"/>
  <c r="H106" i="3"/>
  <c r="I106" i="3"/>
  <c r="J106" i="3"/>
  <c r="K106" i="3"/>
  <c r="L106" i="3"/>
  <c r="M106" i="3"/>
  <c r="N106" i="3"/>
  <c r="O106" i="3"/>
  <c r="P106" i="3"/>
  <c r="Q106" i="3"/>
  <c r="R106" i="3"/>
  <c r="S106" i="3"/>
  <c r="T106" i="3"/>
  <c r="U106" i="3"/>
  <c r="V106" i="3"/>
  <c r="W106" i="3"/>
  <c r="X106" i="3"/>
  <c r="Y106" i="3"/>
  <c r="Z106" i="3"/>
  <c r="AA106" i="3"/>
  <c r="AB106" i="3"/>
  <c r="AC106" i="3"/>
  <c r="AD106" i="3"/>
  <c r="AE106" i="3"/>
  <c r="A107" i="3"/>
  <c r="B107" i="3"/>
  <c r="C107" i="3"/>
  <c r="D107" i="3"/>
  <c r="F107"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108" i="3"/>
  <c r="B108" i="3"/>
  <c r="C108" i="3"/>
  <c r="D108" i="3"/>
  <c r="F108"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109" i="3"/>
  <c r="B109" i="3"/>
  <c r="C109" i="3"/>
  <c r="D109" i="3"/>
  <c r="F109"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110" i="3"/>
  <c r="B110" i="3"/>
  <c r="C110" i="3"/>
  <c r="D110" i="3"/>
  <c r="F110" i="3"/>
  <c r="G110" i="3"/>
  <c r="H110" i="3"/>
  <c r="I110" i="3"/>
  <c r="J110" i="3"/>
  <c r="K110" i="3"/>
  <c r="L110" i="3"/>
  <c r="M110" i="3"/>
  <c r="N110" i="3"/>
  <c r="O110" i="3"/>
  <c r="P110" i="3"/>
  <c r="Q110" i="3"/>
  <c r="R110" i="3"/>
  <c r="S110" i="3"/>
  <c r="T110" i="3"/>
  <c r="U110" i="3"/>
  <c r="V110" i="3"/>
  <c r="W110" i="3"/>
  <c r="X110" i="3"/>
  <c r="Y110" i="3"/>
  <c r="Z110" i="3"/>
  <c r="AA110" i="3"/>
  <c r="AB110" i="3"/>
  <c r="AC110" i="3"/>
  <c r="AD110" i="3"/>
  <c r="AE110" i="3"/>
  <c r="A111" i="3"/>
  <c r="B111" i="3"/>
  <c r="C111" i="3"/>
  <c r="D111" i="3"/>
  <c r="F111" i="3"/>
  <c r="G111" i="3"/>
  <c r="H111" i="3"/>
  <c r="I111" i="3"/>
  <c r="J111" i="3"/>
  <c r="K111" i="3"/>
  <c r="L111" i="3"/>
  <c r="M111" i="3"/>
  <c r="N111" i="3"/>
  <c r="O111" i="3"/>
  <c r="P111" i="3"/>
  <c r="Q111" i="3"/>
  <c r="R111" i="3"/>
  <c r="S111" i="3"/>
  <c r="T111" i="3"/>
  <c r="U111" i="3"/>
  <c r="V111" i="3"/>
  <c r="W111" i="3"/>
  <c r="X111" i="3"/>
  <c r="Y111" i="3"/>
  <c r="Z111" i="3"/>
  <c r="AA111" i="3"/>
  <c r="AB111" i="3"/>
  <c r="AC111" i="3"/>
  <c r="AD111" i="3"/>
  <c r="AE111" i="3"/>
  <c r="A112" i="3"/>
  <c r="B112" i="3"/>
  <c r="C112" i="3"/>
  <c r="D112" i="3"/>
  <c r="F112" i="3"/>
  <c r="G112" i="3"/>
  <c r="H112" i="3"/>
  <c r="I112" i="3"/>
  <c r="J112" i="3"/>
  <c r="K112" i="3"/>
  <c r="L112" i="3"/>
  <c r="M112" i="3"/>
  <c r="N112" i="3"/>
  <c r="O112" i="3"/>
  <c r="P112" i="3"/>
  <c r="Q112" i="3"/>
  <c r="R112" i="3"/>
  <c r="S112" i="3"/>
  <c r="T112" i="3"/>
  <c r="U112" i="3"/>
  <c r="V112" i="3"/>
  <c r="W112" i="3"/>
  <c r="X112" i="3"/>
  <c r="Y112" i="3"/>
  <c r="Z112" i="3"/>
  <c r="AA112" i="3"/>
  <c r="AB112" i="3"/>
  <c r="AC112" i="3"/>
  <c r="AD112" i="3"/>
  <c r="AE112" i="3"/>
  <c r="A113" i="3"/>
  <c r="B113" i="3"/>
  <c r="C113" i="3"/>
  <c r="D113" i="3"/>
  <c r="F113" i="3"/>
  <c r="G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114" i="3"/>
  <c r="B114" i="3"/>
  <c r="C114" i="3"/>
  <c r="D114" i="3"/>
  <c r="F114" i="3"/>
  <c r="G114" i="3"/>
  <c r="H114" i="3"/>
  <c r="I114" i="3"/>
  <c r="J114" i="3"/>
  <c r="K114" i="3"/>
  <c r="L114" i="3"/>
  <c r="M114" i="3"/>
  <c r="N114" i="3"/>
  <c r="O114" i="3"/>
  <c r="P114" i="3"/>
  <c r="Q114" i="3"/>
  <c r="R114" i="3"/>
  <c r="S114" i="3"/>
  <c r="T114" i="3"/>
  <c r="U114" i="3"/>
  <c r="V114" i="3"/>
  <c r="W114" i="3"/>
  <c r="X114" i="3"/>
  <c r="Y114" i="3"/>
  <c r="Z114" i="3"/>
  <c r="AA114" i="3"/>
  <c r="AB114" i="3"/>
  <c r="AC114" i="3"/>
  <c r="AD114" i="3"/>
  <c r="AE114" i="3"/>
  <c r="A115" i="3"/>
  <c r="B115" i="3"/>
  <c r="C115" i="3"/>
  <c r="D115" i="3"/>
  <c r="F115" i="3"/>
  <c r="G115" i="3"/>
  <c r="H115" i="3"/>
  <c r="I115" i="3"/>
  <c r="J115" i="3"/>
  <c r="K115" i="3"/>
  <c r="L115" i="3"/>
  <c r="M115" i="3"/>
  <c r="N115" i="3"/>
  <c r="O115" i="3"/>
  <c r="P115" i="3"/>
  <c r="Q115" i="3"/>
  <c r="R115" i="3"/>
  <c r="S115" i="3"/>
  <c r="T115" i="3"/>
  <c r="U115" i="3"/>
  <c r="V115" i="3"/>
  <c r="W115" i="3"/>
  <c r="X115" i="3"/>
  <c r="Y115" i="3"/>
  <c r="Z115" i="3"/>
  <c r="AA115" i="3"/>
  <c r="AB115" i="3"/>
  <c r="AC115" i="3"/>
  <c r="AD115" i="3"/>
  <c r="AE115" i="3"/>
  <c r="A116" i="3"/>
  <c r="B116" i="3"/>
  <c r="C116" i="3"/>
  <c r="D116" i="3"/>
  <c r="F116" i="3"/>
  <c r="G116" i="3"/>
  <c r="H116" i="3"/>
  <c r="I116" i="3"/>
  <c r="J116" i="3"/>
  <c r="K116" i="3"/>
  <c r="L116" i="3"/>
  <c r="M116" i="3"/>
  <c r="N116" i="3"/>
  <c r="O116" i="3"/>
  <c r="P116" i="3"/>
  <c r="Q116" i="3"/>
  <c r="R116" i="3"/>
  <c r="S116" i="3"/>
  <c r="T116" i="3"/>
  <c r="U116" i="3"/>
  <c r="V116" i="3"/>
  <c r="W116" i="3"/>
  <c r="X116" i="3"/>
  <c r="Y116" i="3"/>
  <c r="Z116" i="3"/>
  <c r="AA116" i="3"/>
  <c r="AB116" i="3"/>
  <c r="AC116" i="3"/>
  <c r="AD116" i="3"/>
  <c r="AE116" i="3"/>
  <c r="A117" i="3"/>
  <c r="B117" i="3"/>
  <c r="C117" i="3"/>
  <c r="D117" i="3"/>
  <c r="F117" i="3"/>
  <c r="G117" i="3"/>
  <c r="H117" i="3"/>
  <c r="I117" i="3"/>
  <c r="J117" i="3"/>
  <c r="K117" i="3"/>
  <c r="L117" i="3"/>
  <c r="M117" i="3"/>
  <c r="N117" i="3"/>
  <c r="O117" i="3"/>
  <c r="P117" i="3"/>
  <c r="Q117" i="3"/>
  <c r="R117" i="3"/>
  <c r="S117" i="3"/>
  <c r="T117" i="3"/>
  <c r="U117" i="3"/>
  <c r="V117" i="3"/>
  <c r="W117" i="3"/>
  <c r="X117" i="3"/>
  <c r="Y117" i="3"/>
  <c r="Z117" i="3"/>
  <c r="AA117" i="3"/>
  <c r="AB117" i="3"/>
  <c r="AC117" i="3"/>
  <c r="AD117" i="3"/>
  <c r="AE117" i="3"/>
  <c r="A118" i="3"/>
  <c r="B118" i="3"/>
  <c r="C118" i="3"/>
  <c r="D118" i="3"/>
  <c r="F118" i="3"/>
  <c r="G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119" i="3"/>
  <c r="B119" i="3"/>
  <c r="C119" i="3"/>
  <c r="D119" i="3"/>
  <c r="F119" i="3"/>
  <c r="G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120" i="3"/>
  <c r="B120" i="3"/>
  <c r="C120" i="3"/>
  <c r="D120" i="3"/>
  <c r="F120" i="3"/>
  <c r="G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121" i="3"/>
  <c r="B121" i="3"/>
  <c r="C121" i="3"/>
  <c r="D121" i="3"/>
  <c r="F121" i="3"/>
  <c r="G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122" i="3"/>
  <c r="B122" i="3"/>
  <c r="C122" i="3"/>
  <c r="D122" i="3"/>
  <c r="F122" i="3"/>
  <c r="G122" i="3"/>
  <c r="H122" i="3"/>
  <c r="I122" i="3"/>
  <c r="J122" i="3"/>
  <c r="K122" i="3"/>
  <c r="L122" i="3"/>
  <c r="M122" i="3"/>
  <c r="N122" i="3"/>
  <c r="O122" i="3"/>
  <c r="P122" i="3"/>
  <c r="Q122" i="3"/>
  <c r="R122" i="3"/>
  <c r="S122" i="3"/>
  <c r="T122" i="3"/>
  <c r="U122" i="3"/>
  <c r="V122" i="3"/>
  <c r="W122" i="3"/>
  <c r="X122" i="3"/>
  <c r="Y122" i="3"/>
  <c r="Z122" i="3"/>
  <c r="AA122" i="3"/>
  <c r="AB122" i="3"/>
  <c r="AC122" i="3"/>
  <c r="AD122" i="3"/>
  <c r="AE122" i="3"/>
  <c r="A123" i="3"/>
  <c r="B123" i="3"/>
  <c r="C123" i="3"/>
  <c r="D123" i="3"/>
  <c r="F123" i="3"/>
  <c r="G123" i="3"/>
  <c r="H123" i="3"/>
  <c r="I123" i="3"/>
  <c r="J123" i="3"/>
  <c r="K123" i="3"/>
  <c r="L123" i="3"/>
  <c r="M123" i="3"/>
  <c r="N123" i="3"/>
  <c r="O123" i="3"/>
  <c r="P123" i="3"/>
  <c r="Q123" i="3"/>
  <c r="R123" i="3"/>
  <c r="S123" i="3"/>
  <c r="T123" i="3"/>
  <c r="U123" i="3"/>
  <c r="V123" i="3"/>
  <c r="W123" i="3"/>
  <c r="X123" i="3"/>
  <c r="Y123" i="3"/>
  <c r="Z123" i="3"/>
  <c r="AA123" i="3"/>
  <c r="AB123" i="3"/>
  <c r="AC123" i="3"/>
  <c r="AD123" i="3"/>
  <c r="AE123" i="3"/>
  <c r="A124" i="3"/>
  <c r="B124" i="3"/>
  <c r="C124" i="3"/>
  <c r="D124" i="3"/>
  <c r="F124" i="3"/>
  <c r="G124" i="3"/>
  <c r="H124" i="3"/>
  <c r="I124" i="3"/>
  <c r="J124" i="3"/>
  <c r="K124" i="3"/>
  <c r="L124" i="3"/>
  <c r="M124" i="3"/>
  <c r="N124" i="3"/>
  <c r="O124" i="3"/>
  <c r="P124" i="3"/>
  <c r="Q124" i="3"/>
  <c r="R124" i="3"/>
  <c r="S124" i="3"/>
  <c r="T124" i="3"/>
  <c r="U124" i="3"/>
  <c r="V124" i="3"/>
  <c r="W124" i="3"/>
  <c r="X124" i="3"/>
  <c r="Y124" i="3"/>
  <c r="Z124" i="3"/>
  <c r="AA124" i="3"/>
  <c r="AB124" i="3"/>
  <c r="AC124" i="3"/>
  <c r="AD124" i="3"/>
  <c r="AE124" i="3"/>
  <c r="A125" i="3"/>
  <c r="B125" i="3"/>
  <c r="C125" i="3"/>
  <c r="D125" i="3"/>
  <c r="F125" i="3"/>
  <c r="G125" i="3"/>
  <c r="H125" i="3"/>
  <c r="I125" i="3"/>
  <c r="J125" i="3"/>
  <c r="K125" i="3"/>
  <c r="L125" i="3"/>
  <c r="M125" i="3"/>
  <c r="N125" i="3"/>
  <c r="O125" i="3"/>
  <c r="P125" i="3"/>
  <c r="Q125" i="3"/>
  <c r="R125" i="3"/>
  <c r="S125" i="3"/>
  <c r="T125" i="3"/>
  <c r="U125" i="3"/>
  <c r="V125" i="3"/>
  <c r="W125" i="3"/>
  <c r="X125" i="3"/>
  <c r="Y125" i="3"/>
  <c r="Z125" i="3"/>
  <c r="AA125" i="3"/>
  <c r="AB125" i="3"/>
  <c r="AC125" i="3"/>
  <c r="AD125" i="3"/>
  <c r="AE125" i="3"/>
  <c r="A126" i="3"/>
  <c r="B126" i="3"/>
  <c r="C126" i="3"/>
  <c r="D126" i="3"/>
  <c r="F126" i="3"/>
  <c r="G126" i="3"/>
  <c r="H126" i="3"/>
  <c r="I126" i="3"/>
  <c r="J126" i="3"/>
  <c r="K126" i="3"/>
  <c r="L126" i="3"/>
  <c r="M126" i="3"/>
  <c r="N126" i="3"/>
  <c r="O126" i="3"/>
  <c r="P126" i="3"/>
  <c r="Q126" i="3"/>
  <c r="R126" i="3"/>
  <c r="S126" i="3"/>
  <c r="T126" i="3"/>
  <c r="U126" i="3"/>
  <c r="V126" i="3"/>
  <c r="W126" i="3"/>
  <c r="X126" i="3"/>
  <c r="Y126" i="3"/>
  <c r="Z126" i="3"/>
  <c r="AA126" i="3"/>
  <c r="AB126" i="3"/>
  <c r="AC126" i="3"/>
  <c r="AD126" i="3"/>
  <c r="AE126" i="3"/>
  <c r="A3" i="3"/>
  <c r="B3" i="3"/>
  <c r="C3" i="3"/>
  <c r="D3" i="3"/>
  <c r="F3" i="3"/>
  <c r="G3" i="3"/>
  <c r="H3" i="3"/>
  <c r="I3" i="3"/>
  <c r="J3" i="3"/>
  <c r="K3" i="3"/>
  <c r="L3" i="3"/>
  <c r="M3" i="3"/>
  <c r="N3" i="3"/>
  <c r="O3" i="3"/>
  <c r="P3" i="3"/>
  <c r="Q3" i="3"/>
  <c r="R3" i="3"/>
  <c r="S3" i="3"/>
  <c r="T3" i="3"/>
  <c r="U3" i="3"/>
  <c r="V3" i="3"/>
  <c r="W3" i="3"/>
  <c r="X3" i="3"/>
  <c r="Y3" i="3"/>
  <c r="Z3" i="3"/>
  <c r="AA3" i="3"/>
  <c r="AB3" i="3"/>
  <c r="AC3" i="3"/>
  <c r="AD3" i="3"/>
  <c r="AE3" i="3"/>
  <c r="A4" i="3"/>
  <c r="B4" i="3"/>
  <c r="C4" i="3"/>
  <c r="D4" i="3"/>
  <c r="F4" i="3"/>
  <c r="G4" i="3"/>
  <c r="H4" i="3"/>
  <c r="I4" i="3"/>
  <c r="J4" i="3"/>
  <c r="K4" i="3"/>
  <c r="L4" i="3"/>
  <c r="M4" i="3"/>
  <c r="N4" i="3"/>
  <c r="O4" i="3"/>
  <c r="P4" i="3"/>
  <c r="Q4" i="3"/>
  <c r="R4" i="3"/>
  <c r="S4" i="3"/>
  <c r="T4" i="3"/>
  <c r="U4" i="3"/>
  <c r="V4" i="3"/>
  <c r="W4" i="3"/>
  <c r="X4" i="3"/>
  <c r="Y4" i="3"/>
  <c r="Z4" i="3"/>
  <c r="AA4" i="3"/>
  <c r="AB4" i="3"/>
  <c r="AC4" i="3"/>
  <c r="AD4" i="3"/>
  <c r="AE4" i="3"/>
  <c r="B2" i="3"/>
  <c r="C2" i="3"/>
  <c r="D2" i="3"/>
  <c r="F2" i="3"/>
  <c r="G2" i="3"/>
  <c r="H2" i="3"/>
  <c r="I2" i="3"/>
  <c r="J2" i="3"/>
  <c r="K2" i="3"/>
  <c r="L2" i="3"/>
  <c r="M2" i="3"/>
  <c r="N2" i="3"/>
  <c r="O2" i="3"/>
  <c r="P2" i="3"/>
  <c r="Q2" i="3"/>
  <c r="R2" i="3"/>
  <c r="S2" i="3"/>
  <c r="T2" i="3"/>
  <c r="U2" i="3"/>
  <c r="V2" i="3"/>
  <c r="W2" i="3"/>
  <c r="X2" i="3"/>
  <c r="Y2" i="3"/>
  <c r="Z2" i="3"/>
  <c r="AA2" i="3"/>
  <c r="AB2" i="3"/>
  <c r="AC2" i="3"/>
  <c r="AD2" i="3"/>
  <c r="AE2" i="3"/>
  <c r="A2" i="3"/>
  <c r="C4" i="9" l="1"/>
  <c r="D4" i="9" s="1"/>
  <c r="C2" i="9"/>
  <c r="D2" i="9" s="1"/>
  <c r="L6" i="9"/>
  <c r="C3" i="9"/>
  <c r="D3" i="9" s="1"/>
  <c r="E90" i="5"/>
  <c r="E27" i="8"/>
  <c r="F27" i="8"/>
  <c r="E28" i="8"/>
  <c r="F28" i="8"/>
  <c r="E25" i="8"/>
  <c r="E24" i="8"/>
  <c r="F25" i="8"/>
  <c r="F24" i="8"/>
  <c r="E8" i="7"/>
  <c r="E7" i="7"/>
  <c r="E6" i="7"/>
  <c r="E5" i="7"/>
  <c r="E4" i="7"/>
  <c r="E3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731D08-50CC-4893-99C8-5122C21C9DE6}" keepAlive="1" name="Query - All_India_Index_Upto_April23 (1)" description="Connection to the 'All_India_Index_Upto_April23 (1)' query in the workbook." type="5" refreshedVersion="0" background="1">
    <dbPr connection="Provider=Microsoft.Mashup.OleDb.1;Data Source=$Workbook$;Location=&quot;All_India_Index_Upto_April23 (1)&quot;;Extended Properties=&quot;&quot;" command="SELECT * FROM [All_India_Index_Upto_April23 (1)]"/>
  </connection>
  <connection id="2" xr16:uid="{08BDB97A-24B7-4B89-B6E2-A1797B52C7B3}" keepAlive="1" name="Query - Calender" description="Connection to the 'Calender' query in the workbook." type="5" refreshedVersion="0" background="1">
    <dbPr connection="Provider=Microsoft.Mashup.OleDb.1;Data Source=$Workbook$;Location=Calender;Extended Properties=&quot;&quot;" command="SELECT * FROM [Calender]"/>
  </connection>
  <connection id="3" xr16:uid="{C0E65E30-3FC0-4EB5-B7FA-016DD30C4B82}" keepAlive="1" name="Query - Cleaned Data" description="Connection to the 'Cleaned Data' query in the workbook." type="5" refreshedVersion="7"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<sst xmlns="http://schemas.openxmlformats.org/spreadsheetml/2006/main" count="519" uniqueCount="92">
  <si>
    <t>Date</t>
  </si>
  <si>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</si>
  <si>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</si>
  <si>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</si>
  <si>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</si>
  <si>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</si>
  <si>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</si>
  <si>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</si>
  <si>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</si>
  <si>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</si>
  <si>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</si>
  <si>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</si>
  <si>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</si>
  <si>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</si>
  <si>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</si>
  <si>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</si>
  <si>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</si>
  <si>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</si>
  <si>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</si>
  <si>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</si>
  <si>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</si>
  <si>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</si>
  <si>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</si>
  <si>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</si>
  <si>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</si>
  <si>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</si>
  <si>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</si>
  <si>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</si>
  <si>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</si>
  <si>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</si>
  <si>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</si>
  <si>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Rural+Urban</t>
  </si>
  <si>
    <t>January</t>
  </si>
  <si>
    <t>February</t>
  </si>
  <si>
    <t>March</t>
  </si>
  <si>
    <t>April</t>
  </si>
  <si>
    <t>May</t>
  </si>
  <si>
    <t>June</t>
  </si>
  <si>
    <t>July</t>
  </si>
  <si>
    <t>August</t>
  </si>
  <si>
    <t>September</t>
  </si>
  <si>
    <t>October</t>
  </si>
  <si>
    <t>November</t>
  </si>
  <si>
    <t>December</t>
  </si>
  <si>
    <t>Contribution %</t>
  </si>
  <si>
    <t>Total</t>
  </si>
  <si>
    <t>YoY Inflation (General Index)</t>
  </si>
  <si>
    <t>Avg YoY Inflation</t>
  </si>
  <si>
    <t>Highest inflation year</t>
  </si>
  <si>
    <t>Food MoM %</t>
  </si>
  <si>
    <t>Highest Food Inflation Month</t>
  </si>
  <si>
    <t>Lowest Food Inflation Month</t>
  </si>
  <si>
    <t>Values</t>
  </si>
  <si>
    <t>Sub-category</t>
  </si>
  <si>
    <t>Prepared meals etc.</t>
  </si>
  <si>
    <t>Biggest Driver Pushing Inflation Up</t>
  </si>
  <si>
    <t>Biggest Driver Pushing Inflation Down</t>
  </si>
  <si>
    <t>Category</t>
  </si>
  <si>
    <t>Avg MoM % (Before: Mar'19-Feb'20)</t>
  </si>
  <si>
    <t>Avg MoM % (After: Mar'20-Feb'21)</t>
  </si>
  <si>
    <t>Change (pp)</t>
  </si>
  <si>
    <t>Health MoM%</t>
  </si>
  <si>
    <t>Food MoM%</t>
  </si>
  <si>
    <t>General Index MoM%</t>
  </si>
  <si>
    <t>Brent Oil Price ($/bbl)</t>
  </si>
  <si>
    <t>Source note:</t>
  </si>
  <si>
    <t>Brent crude oil monthly averages. Jan-21 to Jun-21 are well-documented public figures sourced from U.S. EIA commentary (approximate to nearest $0.10-1). Jul-21 to May-23 sourced from World Bank commodity price data via IndexMundi (indexmundi.com/commodities/?commodity=crude-oil-brent).</t>
  </si>
  <si>
    <t>Oil MoM %</t>
  </si>
  <si>
    <t>Correlation with Oil MoM%</t>
  </si>
  <si>
    <t>Correlation</t>
  </si>
  <si>
    <t>Most correlated category</t>
  </si>
  <si>
    <t>Fuel and light correlation</t>
  </si>
  <si>
    <t>Contrary to the intuitive expectation, "Fuel and light" — the category most directly exposed to crude oil — shows almost no correlation with oil price changes (r = 0.09). This is because Indian retail fuel prices are heavily buffered by government policy rather than passed through directly: during this period, the Centre cut excise duty on petrol and diesel twice (November 2021 and May 2022) specifically to shield consumers from the full impact of record international crude prices, and public-sector oil marketing companies even absorbed losses rather than raise prices further — Indian Basket crude rose ~102% between Oct 2020 and Oct 2022, while retail petrol prices rose only ~19%. Instead, Meat and fish shows the strongest correlation (r = 0.44) — a moderate positive relationship likely driven by indirect exposure: rising fuel costs raise cold-chain logistics and animal feed costs (feed grains and edible oils track global commodity cycles), which feed into meat prices with more elasticity than the policy-dampened "Fuel and light" index does. This is a good example of why a policy-protected consumer price index doesn't always mirror the raw commodity driving it.</t>
  </si>
  <si>
    <t>Elementary Category</t>
  </si>
  <si>
    <t>Broader Bucket</t>
  </si>
  <si>
    <t>May 2023 Index Value</t>
  </si>
  <si>
    <t>Prepared meals, snacks etc.</t>
  </si>
  <si>
    <t>Food</t>
  </si>
  <si>
    <t>Miscellaneous/Discretionary</t>
  </si>
  <si>
    <t>Clothing &amp; Footwear</t>
  </si>
  <si>
    <t>Fuel &amp; Light</t>
  </si>
  <si>
    <t>Transport &amp; Communication</t>
  </si>
  <si>
    <t>Total (all elementary items)</t>
  </si>
  <si>
    <t>Sum of Index Values</t>
  </si>
  <si>
    <t>Highest contributing bucket:</t>
  </si>
  <si>
    <t>Absolute Change (May'22 to May'23)</t>
  </si>
  <si>
    <t>*2022 recorded the highest average Y-o-Y inflation in this dataset (6.6%), driven primarily by a global commodity price shock. Russia's invasion of Ukraine in February 2022 disrupted global supply chains for crude oil, edible oils (India imports ~60% of its edible oil, much of it sunflower oil from the Black Sea region), wheat, and fertilizers. This pushed up international commodity prices sharply through mid-2022, and the Indian rupee's depreciation against the US dollar made imports costlier. The impact was most visible in Food and beverages, where inflation rose from an average of 4.4% in 2021 to 6.6% in 2022, led by cereals (from -0.7% to 8.0%), while edible oil prices stayed elevated early in the year. Overall CPI inflation stayed above the RBI's 6% upper tolerance band in 9 of the 12 months of 2022, and the RBI began a rate-hiking cycle in May 2022.</t>
  </si>
  <si>
    <t>*Food inflation over the 12 months ending May 2023 peaked in October 2022 (+1.01% MoM) and bottomed out in December 2022 (-1.35% MoM), a pattern that may reflect India's seasonal harvest cycle, when post-monsoon arrivals of vegetables and cereals typically ease prices through the winter. Over the full window (May 2022 to May 2023), the Food and beverages index moved only +5.8 points net, even though individual items moved a lot. Spices rose the most (+33.1 points), possibly due to supply constraints, while Oils and fats fell the most (-32.4 points), likely as international edible oil prices, which spiked in 2022 after the Russia-Ukraine war (see Q2), eased through late 2022 and early 2023. Cereals (+19.6) and Milk and products (+14.6) also rose, while Vegetables fell (-13.9). Because the overall index is weighted by each item's share of the basket, large moves in single items do not translate one-for-one into the Food index, and aggregate indices can hide significant volatility underneath.</t>
  </si>
  <si>
    <t>*The "after" window includes April–May 2020, where May was missing for all categories and April for 13 of them (including General Index), so these values were estimated by linear interpolation between March and June 2020 due to MoSPI's lockdown-related data collection gap. Similarly, April 2019, which falls in the "before" window, was missing for all categories and was estimated as the midpoint of March and May 2019. Estimated values are, by construction, smoother than real reported data would have been, so they may understate true month-to-month volatility, especially during the strictest lockdown period. Additionally, June and July 2020 are identical across every category in the original government source. MoSPI appears to have carried forward June's figures as a placeholder for July, likely reflecting continued lockdown-related data collection disruption in several states. This means the "0% change" in July 2020 visible in the progression chart reflects a data-reporting gap, not genuine price stability.</t>
  </si>
  <si>
    <t>Food is the highest-contributing broader category at 47.51%, broadly in line with food's large share of Indian household spending. Note that Food has 11 of the 23 items, so this share partly reflects the number of items in the bucket. It was calculated by grouping the 23 elementary (non-aggregate) CPI items into 8 broader buckets and summing their raw index values under an equal-weighting assumption, per the brief's instruction. MoSPI's own aggregate columns were not used, because they already include the elementary items and would have double-counted them.</t>
  </si>
  <si>
    <t>May 22 - 23</t>
  </si>
  <si>
    <t>Absolute Change (Food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</si>
</sst>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
  </numFmts>
  <fonts count="1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ont>
    <font>
      <i/>
      <sz val="11"/>
      <name val="Calibri"/>
    </font>
    <font>
      <b/>
      <sz val="11"/>
      <color theme="0"/>
      <name val="Calibri"/>
      <family val="2"/>
    </font>
    <font>
      <sz val="11"/>
      <color theme="0"/>
      <name val="Calibri"/>
      <family val="2"/>
    </font>
    <font>
      <b/>
      <sz val="16"/>
      <color theme="0"/>
      <name val="Calibri"/>
      <family val="2"/>
      <scheme val="minor"/>
    </font>
  </fonts>
  <fills count="10">
    <fill>
      <patternFill patternType="none"/>
    </fill>
    <fill>
      <patternFill patternType="gray125"/>
    </fill>
    <fill>
      <patternFill patternType="solid">
        <fgColor theme="9"/>
        <bgColor theme="9"/>
      </patternFill>
    </fill>
    <fill>
      <patternFill patternType="solid">
        <fgColor rgb="FFFFFF00"/>
        <bgColor indexed="64"/>
      </patternFill>
    </fill>
    <fill>
      <patternFill patternType="solid">
        <fgColor theme="1"/>
        <bgColor theme="1"/>
      </patternFill>
    </fill>
    <fill>
      <patternFill patternType="solid">
        <fgColor theme="8" tint="-0.249977111117893"/>
        <bgColor theme="8" tint="-0.249977111117893"/>
      </patternFill>
    </fill>
    <fill>
      <patternFill patternType="solid">
        <fgColor theme="8"/>
        <bgColor theme="8"/>
      </patternFill>
    </fill>
    <fill>
      <patternFill patternType="solid">
        <fgColor rgb="FF0070C0"/>
        <bgColor indexed="64"/>
      </patternFill>
    </fill>
    <fill>
      <patternFill patternType="solid">
        <fgColor theme="1" tint="4.9989318521683403E-2"/>
        <bgColor indexed="64"/>
      </patternFill>
    </fill>
    <fill>
      <patternFill patternType="solid">
        <fgColor rgb="FF002060"/>
        <bgColor indexed="64"/>
      </patternFill>
    </fill>
  </fills>
  <borders count="2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19">
    <xf numFmtId="0" fontId="0" fillId="0" borderId="0" xfId="0"/>
    <xf numFmtId="14" fontId="0" fillId="0" borderId="0" xfId="0" applyNumberFormat="1"/>
    <xf numFmtId="0" fontId="0" fillId="0" borderId="0" xfId="0" applyNumberFormat="1"/>
    <xf numFmtId="0" fontId="2" fillId="2" borderId="1" xfId="0" applyFont="1" applyFill="1" applyBorder="1"/>
    <xf numFmtId="0" fontId="2" fillId="2" borderId="2" xfId="0" applyFont="1" applyFill="1" applyBorder="1"/>
    <xf numFmtId="0" fontId="2" fillId="2" borderId="3" xfId="0" applyFont="1" applyFill="1" applyBorder="1"/>
    <xf numFmtId="0" fontId="0" fillId="3" borderId="0" xfId="0" applyNumberFormat="1" applyFill="1"/>
    <xf numFmtId="10" fontId="0" fillId="0" borderId="0" xfId="1" applyNumberFormat="1" applyFont="1"/>
    <xf numFmtId="0" fontId="0" fillId="0" borderId="0" xfId="0" applyBorder="1"/>
    <xf numFmtId="0" fontId="0" fillId="0" borderId="4" xfId="0" applyBorder="1"/>
    <xf numFmtId="0" fontId="0" fillId="0" borderId="5" xfId="0" applyBorder="1"/>
    <xf numFmtId="10" fontId="0" fillId="0" borderId="6" xfId="1" applyNumberFormat="1" applyFont="1" applyBorder="1"/>
    <xf numFmtId="0" fontId="0" fillId="0" borderId="9" xfId="0" applyBorder="1"/>
    <xf numFmtId="0" fontId="0" fillId="0" borderId="7" xfId="0" applyBorder="1"/>
    <xf numFmtId="0" fontId="0" fillId="0" borderId="8" xfId="0" applyBorder="1"/>
    <xf numFmtId="0" fontId="0" fillId="0" borderId="0" xfId="0" applyAlignment="1">
      <alignment horizontal="center"/>
    </xf>
    <xf numFmtId="0" fontId="0" fillId="0" borderId="9" xfId="0" applyBorder="1" applyAlignment="1">
      <alignment horizontal="center" vertical="center" wrapText="1"/>
    </xf>
    <xf numFmtId="10" fontId="0" fillId="0" borderId="6" xfId="0" applyNumberFormat="1" applyBorder="1" applyAlignment="1">
      <alignment horizontal="center"/>
    </xf>
    <xf numFmtId="10" fontId="0" fillId="0" borderId="12" xfId="0" applyNumberFormat="1" applyBorder="1" applyAlignment="1">
      <alignment horizontal="center"/>
    </xf>
    <xf numFmtId="17" fontId="0" fillId="0" borderId="5" xfId="0" applyNumberFormat="1" applyBorder="1" applyAlignment="1">
      <alignment horizontal="center"/>
    </xf>
    <xf numFmtId="17" fontId="0" fillId="0" borderId="10" xfId="0" applyNumberFormat="1"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2" fillId="0" borderId="0" xfId="0" applyFont="1" applyFill="1" applyBorder="1" applyAlignment="1">
      <alignment vertical="center" wrapText="1"/>
    </xf>
    <xf numFmtId="0" fontId="0" fillId="0" borderId="7" xfId="0" applyBorder="1" applyAlignment="1">
      <alignment horizontal="center" vertical="center"/>
    </xf>
    <xf numFmtId="0" fontId="0" fillId="0" borderId="9" xfId="0" applyBorder="1" applyAlignment="1">
      <alignment horizontal="center" vertical="center"/>
    </xf>
    <xf numFmtId="14" fontId="0" fillId="0" borderId="5" xfId="0" applyNumberFormat="1" applyBorder="1" applyAlignment="1">
      <alignment horizontal="center" vertical="center"/>
    </xf>
    <xf numFmtId="10" fontId="0" fillId="0" borderId="6" xfId="0" applyNumberFormat="1" applyBorder="1" applyAlignment="1">
      <alignment horizontal="center" vertical="center"/>
    </xf>
    <xf numFmtId="14" fontId="0" fillId="0" borderId="10" xfId="0" applyNumberFormat="1" applyBorder="1" applyAlignment="1">
      <alignment horizontal="center" vertical="center"/>
    </xf>
    <xf numFmtId="10" fontId="0" fillId="0" borderId="12" xfId="0" applyNumberFormat="1" applyBorder="1" applyAlignment="1">
      <alignment horizontal="center" vertical="center"/>
    </xf>
    <xf numFmtId="0" fontId="0" fillId="0" borderId="8" xfId="0" applyBorder="1" applyAlignment="1">
      <alignment horizontal="center" vertical="center"/>
    </xf>
    <xf numFmtId="17" fontId="0" fillId="0" borderId="5" xfId="0" applyNumberFormat="1" applyBorder="1" applyAlignment="1">
      <alignment horizontal="center" vertical="center"/>
    </xf>
    <xf numFmtId="17" fontId="0" fillId="0" borderId="10" xfId="0" applyNumberFormat="1" applyBorder="1" applyAlignment="1">
      <alignment horizontal="center" vertical="center"/>
    </xf>
    <xf numFmtId="0" fontId="0" fillId="0" borderId="0" xfId="0" applyBorder="1" applyAlignment="1">
      <alignment horizontal="center" vertical="center"/>
    </xf>
    <xf numFmtId="14" fontId="0" fillId="0" borderId="0" xfId="0" applyNumberFormat="1" applyBorder="1" applyAlignment="1">
      <alignment horizontal="center" vertical="center"/>
    </xf>
    <xf numFmtId="10" fontId="0" fillId="0" borderId="0" xfId="0" applyNumberFormat="1" applyBorder="1"/>
    <xf numFmtId="0" fontId="0" fillId="0" borderId="0" xfId="0" applyFill="1" applyBorder="1"/>
    <xf numFmtId="0" fontId="2" fillId="4" borderId="4" xfId="0" applyFont="1" applyFill="1" applyBorder="1" applyAlignment="1">
      <alignment horizontal="center"/>
    </xf>
    <xf numFmtId="10" fontId="0" fillId="0" borderId="0" xfId="0" applyNumberFormat="1" applyBorder="1" applyAlignment="1">
      <alignment horizontal="center" vertical="center"/>
    </xf>
    <xf numFmtId="17" fontId="4" fillId="5" borderId="5" xfId="0" applyNumberFormat="1" applyFont="1" applyFill="1" applyBorder="1" applyAlignment="1">
      <alignment horizontal="center"/>
    </xf>
    <xf numFmtId="10" fontId="4" fillId="5" borderId="5" xfId="0" applyNumberFormat="1" applyFont="1" applyFill="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10" fontId="4" fillId="6" borderId="5" xfId="0" applyNumberFormat="1" applyFont="1" applyFill="1" applyBorder="1" applyAlignment="1">
      <alignment horizontal="center"/>
    </xf>
    <xf numFmtId="0" fontId="4" fillId="7" borderId="4" xfId="0" applyFont="1" applyFill="1" applyBorder="1" applyAlignment="1">
      <alignment horizontal="center" vertical="center"/>
    </xf>
    <xf numFmtId="17" fontId="4" fillId="6" borderId="5" xfId="0" applyNumberFormat="1" applyFont="1" applyFill="1" applyBorder="1" applyAlignment="1">
      <alignment horizontal="center"/>
    </xf>
    <xf numFmtId="0" fontId="4" fillId="5" borderId="5" xfId="0" applyFont="1" applyFill="1" applyBorder="1" applyAlignment="1">
      <alignment horizontal="center" vertical="center"/>
    </xf>
    <xf numFmtId="0" fontId="4" fillId="7" borderId="5" xfId="0" applyFont="1" applyFill="1" applyBorder="1" applyAlignment="1">
      <alignment horizontal="center" vertical="center"/>
    </xf>
    <xf numFmtId="0" fontId="2" fillId="4" borderId="21" xfId="0" applyFont="1" applyFill="1" applyBorder="1" applyAlignment="1">
      <alignment horizontal="center" vertical="center"/>
    </xf>
    <xf numFmtId="0" fontId="2" fillId="8" borderId="21" xfId="0" applyFont="1" applyFill="1" applyBorder="1" applyAlignment="1">
      <alignment horizontal="center"/>
    </xf>
    <xf numFmtId="0" fontId="2" fillId="7" borderId="4" xfId="0" applyFont="1" applyFill="1" applyBorder="1" applyAlignment="1">
      <alignment horizontal="center" vertical="center"/>
    </xf>
    <xf numFmtId="0" fontId="2" fillId="8" borderId="22" xfId="0" applyFont="1" applyFill="1" applyBorder="1" applyAlignment="1">
      <alignment horizontal="center"/>
    </xf>
    <xf numFmtId="10" fontId="0" fillId="0" borderId="4" xfId="0" applyNumberFormat="1" applyBorder="1" applyAlignment="1">
      <alignment horizontal="center" vertical="center"/>
    </xf>
    <xf numFmtId="10" fontId="0" fillId="0" borderId="11" xfId="0" applyNumberFormat="1" applyBorder="1" applyAlignment="1">
      <alignment horizontal="center" vertical="center"/>
    </xf>
    <xf numFmtId="0" fontId="7" fillId="0" borderId="9" xfId="0" applyFont="1" applyBorder="1"/>
    <xf numFmtId="17" fontId="8" fillId="0" borderId="5" xfId="0" applyNumberFormat="1" applyFont="1" applyBorder="1" applyAlignment="1">
      <alignment horizontal="center" vertical="center"/>
    </xf>
    <xf numFmtId="0" fontId="8" fillId="0" borderId="4" xfId="0" applyFont="1" applyBorder="1" applyAlignment="1">
      <alignment horizontal="center" vertical="center"/>
    </xf>
    <xf numFmtId="0" fontId="4" fillId="0" borderId="6" xfId="0" applyFont="1" applyBorder="1" applyAlignment="1">
      <alignment horizontal="center" vertical="center"/>
    </xf>
    <xf numFmtId="10" fontId="8" fillId="0" borderId="6" xfId="0" applyNumberFormat="1" applyFont="1" applyBorder="1" applyAlignment="1">
      <alignment horizontal="center" vertical="center"/>
    </xf>
    <xf numFmtId="17" fontId="8" fillId="0" borderId="10" xfId="0" applyNumberFormat="1" applyFont="1" applyBorder="1" applyAlignment="1">
      <alignment horizontal="center" vertical="center"/>
    </xf>
    <xf numFmtId="0" fontId="8" fillId="0" borderId="11" xfId="0" applyFont="1" applyBorder="1" applyAlignment="1">
      <alignment horizontal="center" vertical="center"/>
    </xf>
    <xf numFmtId="10" fontId="8"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2" fontId="0" fillId="0" borderId="11" xfId="0" applyNumberFormat="1" applyBorder="1" applyAlignment="1">
      <alignment horizontal="center" vertical="center"/>
    </xf>
    <xf numFmtId="2" fontId="0" fillId="0" borderId="12" xfId="0" applyNumberFormat="1" applyBorder="1" applyAlignment="1">
      <alignment horizontal="center" vertical="center"/>
    </xf>
    <xf numFmtId="0" fontId="8" fillId="0" borderId="5" xfId="0" applyFont="1" applyBorder="1" applyAlignment="1">
      <alignment horizontal="center" vertical="center"/>
    </xf>
    <xf numFmtId="0" fontId="8" fillId="0" borderId="10" xfId="0" applyFont="1" applyBorder="1" applyAlignment="1">
      <alignment horizontal="center" vertical="center"/>
    </xf>
    <xf numFmtId="0" fontId="2" fillId="8" borderId="4" xfId="0" applyFont="1" applyFill="1" applyBorder="1"/>
    <xf numFmtId="0" fontId="7" fillId="8" borderId="4" xfId="0" applyFont="1" applyFill="1" applyBorder="1"/>
    <xf numFmtId="2" fontId="4" fillId="7" borderId="4" xfId="0" applyNumberFormat="1" applyFont="1" applyFill="1" applyBorder="1" applyAlignment="1">
      <alignment horizontal="center" vertical="center"/>
    </xf>
    <xf numFmtId="0" fontId="0" fillId="0" borderId="12" xfId="0" applyBorder="1"/>
    <xf numFmtId="0" fontId="0" fillId="0" borderId="10" xfId="0" applyBorder="1"/>
    <xf numFmtId="0" fontId="0" fillId="0" borderId="11" xfId="0" applyBorder="1"/>
    <xf numFmtId="0" fontId="0" fillId="0" borderId="6" xfId="0" applyBorder="1"/>
    <xf numFmtId="0" fontId="2" fillId="9" borderId="0" xfId="0" applyFont="1" applyFill="1"/>
    <xf numFmtId="0" fontId="3" fillId="9" borderId="10" xfId="0" applyFont="1" applyFill="1" applyBorder="1" applyAlignment="1">
      <alignment horizontal="center"/>
    </xf>
    <xf numFmtId="0" fontId="3" fillId="9" borderId="11" xfId="0" applyFont="1" applyFill="1" applyBorder="1" applyAlignment="1">
      <alignment horizontal="center"/>
    </xf>
    <xf numFmtId="10" fontId="3" fillId="9" borderId="12" xfId="0" applyNumberFormat="1" applyFont="1" applyFill="1" applyBorder="1"/>
    <xf numFmtId="0" fontId="2" fillId="9" borderId="25" xfId="0" applyFont="1" applyFill="1" applyBorder="1"/>
    <xf numFmtId="165" fontId="0" fillId="3" borderId="0" xfId="0" applyNumberFormat="1" applyFill="1"/>
    <xf numFmtId="0" fontId="2" fillId="9" borderId="0" xfId="0" applyFont="1" applyFill="1" applyAlignment="1">
      <alignment horizontal="center"/>
    </xf>
    <xf numFmtId="0" fontId="2" fillId="9" borderId="23" xfId="0" applyFont="1" applyFill="1" applyBorder="1" applyAlignment="1">
      <alignment horizontal="center"/>
    </xf>
    <xf numFmtId="0" fontId="2" fillId="9" borderId="24" xfId="0" applyFont="1" applyFill="1" applyBorder="1" applyAlignment="1">
      <alignment horizontal="center"/>
    </xf>
    <xf numFmtId="0" fontId="9" fillId="7" borderId="13"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7" borderId="0"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9"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9" fillId="7" borderId="20"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7" borderId="14"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4" fillId="7" borderId="16"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4" fillId="7" borderId="17"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4" fillId="7" borderId="19" xfId="0" applyFont="1" applyFill="1" applyBorder="1" applyAlignment="1">
      <alignment horizontal="center" vertical="center" wrapText="1"/>
    </xf>
    <xf numFmtId="0" fontId="4" fillId="7" borderId="20" xfId="0" applyFont="1" applyFill="1" applyBorder="1" applyAlignment="1">
      <alignment horizontal="center" vertical="center" wrapText="1"/>
    </xf>
    <xf numFmtId="0" fontId="6" fillId="0" borderId="4" xfId="0" applyFont="1" applyBorder="1" applyAlignment="1">
      <alignment horizontal="center" wrapText="1"/>
    </xf>
    <xf numFmtId="0" fontId="5" fillId="0" borderId="4" xfId="0" applyFont="1" applyBorder="1" applyAlignment="1">
      <alignment horizontal="center"/>
    </xf>
    <xf numFmtId="166" fontId="0" fillId="0" borderId="6" xfId="0" applyNumberFormat="1" applyBorder="1" applyAlignment="1">
      <alignment horizontal="center"/>
    </xf>
    <xf numFmtId="166" fontId="0" fillId="0" borderId="12" xfId="0" applyNumberFormat="1" applyBorder="1" applyAlignment="1">
      <alignment horizontal="center"/>
    </xf>
  </cellXfs>
  <cellStyles count="2">
    <cellStyle name="Normal" xfId="0" builtinId="0"/>
    <cellStyle name="Percent" xfId="1" builtinId="5"/>
  </cellStyles>
  <dxfs count="80">
    <dxf>
      <numFmt numFmtId="166"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theme="0"/>
        <name val="Calibri"/>
        <scheme val="none"/>
      </font>
      <numFmt numFmtId="1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0"/>
        <name val="Calibri"/>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scheme val="none"/>
      </font>
      <numFmt numFmtId="22" formatCode="mmm/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0"/>
        <name val="Calibri"/>
      </font>
      <alignment horizontal="center" vertical="center"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19" formatCode="dd/mm/yyyy"/>
    </dxf>
    <dxf>
      <numFmt numFmtId="2"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22" formatCode="mmm/yy"/>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2" formatCode="mmm/yy"/>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800" b="1" i="0" u="none" strike="noStrike" baseline="0">
                <a:solidFill>
                  <a:schemeClr val="bg1"/>
                </a:solidFill>
              </a:rPr>
              <a:t>Broader Category Contribution to CPI Basket (May 2023)</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lotArea>
      <c:layout/>
      <c:doughnutChart>
        <c:varyColors val="1"/>
        <c:ser>
          <c:idx val="0"/>
          <c:order val="0"/>
          <c:dPt>
            <c:idx val="0"/>
            <c:bubble3D val="0"/>
            <c:spPr>
              <a:solidFill>
                <a:schemeClr val="bg1">
                  <a:lumMod val="8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5358-43D7-AD7E-49C850F63B9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486-419A-BBDE-0215929F0CF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486-419A-BBDE-0215929F0CF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486-419A-BBDE-0215929F0CF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486-419A-BBDE-0215929F0CFF}"/>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486-419A-BBDE-0215929F0CFF}"/>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486-419A-BBDE-0215929F0CFF}"/>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5486-419A-BBDE-0215929F0CFF}"/>
              </c:ext>
            </c:extLst>
          </c:dPt>
          <c:dLbls>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2-5358-43D7-AD7E-49C850F63B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'Q1 - Contribution'!$A$29:$A$36</c:f>
              <c:strCache>
                <c:ptCount val="8"/>
                <c:pt idx="0">
                  <c:v>Food</c:v>
                </c:pt>
                <c:pt idx="1">
                  <c:v>Miscellaneous/Discretionary</c:v>
                </c:pt>
                <c:pt idx="2">
                  <c:v>Clothing &amp; Footwear</c:v>
                </c:pt>
                <c:pt idx="3">
                  <c:v>Housing</c:v>
                </c:pt>
                <c:pt idx="4">
                  <c:v>Fuel &amp; Light</c:v>
                </c:pt>
                <c:pt idx="5">
                  <c:v>Health</c:v>
                </c:pt>
                <c:pt idx="6">
                  <c:v>Transport &amp; Communication</c:v>
                </c:pt>
                <c:pt idx="7">
                  <c:v>Education</c:v>
                </c:pt>
              </c:strCache>
            </c:strRef>
          </c:cat>
          <c:val>
            <c:numRef>
              <c:f>'Q1 - Contribution'!$C$29:$C$36</c:f>
              <c:numCache>
                <c:formatCode>0.00%</c:formatCode>
                <c:ptCount val="8"/>
                <c:pt idx="0">
                  <c:v>0.475130062721836</c:v>
                </c:pt>
                <c:pt idx="1">
                  <c:v>0.17766324694899596</c:v>
                </c:pt>
                <c:pt idx="2">
                  <c:v>8.9220596100549429E-2</c:v>
                </c:pt>
                <c:pt idx="3">
                  <c:v>8.5282248261778576E-2</c:v>
                </c:pt>
                <c:pt idx="4">
                  <c:v>4.4440122526377211E-2</c:v>
                </c:pt>
                <c:pt idx="5">
                  <c:v>4.5145135411095445E-2</c:v>
                </c:pt>
                <c:pt idx="6">
                  <c:v>4.0064180483298496E-2</c:v>
                </c:pt>
                <c:pt idx="7">
                  <c:v>4.305440754606895E-2</c:v>
                </c:pt>
              </c:numCache>
            </c:numRef>
          </c:val>
          <c:extLst>
            <c:ext xmlns:c16="http://schemas.microsoft.com/office/drawing/2014/chart" uri="{C3380CC4-5D6E-409C-BE32-E72D297353CC}">
              <c16:uniqueId val="{00000000-5358-43D7-AD7E-49C850F63B9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5"/>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6"/>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7"/>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u="sng"/>
              <a:t>India Y-o-Y CPI Inflation, 2017–2023</a:t>
            </a:r>
            <a:endParaRPr lang="en-US" u="sng"/>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'Q2 - YoY Trend'!$B$1</c:f>
              <c:strCache>
                <c:ptCount val="1"/>
                <c:pt idx="0">
                  <c:v>YoY Inflation (General Index)</c:v>
                </c:pt>
              </c:strCache>
            </c:strRef>
          </c:tx>
          <c:spPr>
            <a:ln w="34925" cap="rnd">
              <a:solidFill>
                <a:schemeClr val="lt1"/>
              </a:solidFill>
              <a:round/>
            </a:ln>
            <a:effectLst>
              <a:outerShdw dist="25400" dir="2700000" algn="tl" rotWithShape="0">
                <a:schemeClr val="accent1"/>
              </a:outerShdw>
            </a:effectLst>
          </c:spPr>
          <c:marker>
            <c:symbol val="none"/>
          </c:marker>
          <c:cat>
            <c:numRef>
              <c:f>'Q2 - YoY Trend'!$A$2:$A$78</c:f>
              <c:numCache>
                <c:formatCode>mmm\-yy</c:formatCode>
                <c:ptCount val="77"/>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numCache>
            </c:numRef>
          </c:cat>
          <c:val>
            <c:numRef>
              <c:f>'Q2 - YoY Trend'!$B$2:$B$78</c:f>
              <c:numCache>
                <c:formatCode>0.00%</c:formatCode>
                <c:ptCount val="77"/>
                <c:pt idx="0">
                  <c:v>3.1670625494853638E-2</c:v>
                </c:pt>
                <c:pt idx="1">
                  <c:v>3.6507936507936462E-2</c:v>
                </c:pt>
                <c:pt idx="2">
                  <c:v>3.8888888888888931E-2</c:v>
                </c:pt>
                <c:pt idx="3">
                  <c:v>2.9850746268656695E-2</c:v>
                </c:pt>
                <c:pt idx="4">
                  <c:v>2.1772939346811911E-2</c:v>
                </c:pt>
                <c:pt idx="5">
                  <c:v>1.4604150653343625E-2</c:v>
                </c:pt>
                <c:pt idx="6">
                  <c:v>2.3646071700991568E-2</c:v>
                </c:pt>
                <c:pt idx="7">
                  <c:v>3.2799389778794902E-2</c:v>
                </c:pt>
                <c:pt idx="8">
                  <c:v>3.2849503437738597E-2</c:v>
                </c:pt>
                <c:pt idx="9">
                  <c:v>3.5768645357686368E-2</c:v>
                </c:pt>
                <c:pt idx="10">
                  <c:v>4.8780487804878099E-2</c:v>
                </c:pt>
                <c:pt idx="11">
                  <c:v>5.2147239263803546E-2</c:v>
                </c:pt>
                <c:pt idx="12">
                  <c:v>5.0652340752110468E-2</c:v>
                </c:pt>
                <c:pt idx="13">
                  <c:v>4.441041347626349E-2</c:v>
                </c:pt>
                <c:pt idx="14">
                  <c:v>4.278074866310156E-2</c:v>
                </c:pt>
                <c:pt idx="15">
                  <c:v>4.5766590389016024E-2</c:v>
                </c:pt>
                <c:pt idx="16">
                  <c:v>4.8706240487062444E-2</c:v>
                </c:pt>
                <c:pt idx="17">
                  <c:v>4.924242424242424E-2</c:v>
                </c:pt>
                <c:pt idx="18">
                  <c:v>4.172876304023862E-2</c:v>
                </c:pt>
                <c:pt idx="19">
                  <c:v>3.6927621861152143E-2</c:v>
                </c:pt>
                <c:pt idx="20">
                  <c:v>3.6982248520710061E-2</c:v>
                </c:pt>
                <c:pt idx="21">
                  <c:v>3.4533431300514457E-2</c:v>
                </c:pt>
                <c:pt idx="22">
                  <c:v>2.3255813953488497E-2</c:v>
                </c:pt>
                <c:pt idx="23">
                  <c:v>2.1137026239067099E-2</c:v>
                </c:pt>
                <c:pt idx="24">
                  <c:v>1.9722425127830449E-2</c:v>
                </c:pt>
                <c:pt idx="25">
                  <c:v>2.5659824046920819E-2</c:v>
                </c:pt>
                <c:pt idx="26">
                  <c:v>2.8571428571428612E-2</c:v>
                </c:pt>
                <c:pt idx="27">
                  <c:v>2.9905178701677568E-2</c:v>
                </c:pt>
                <c:pt idx="28">
                  <c:v>3.0478955007256808E-2</c:v>
                </c:pt>
                <c:pt idx="29">
                  <c:v>3.17689530685921E-2</c:v>
                </c:pt>
                <c:pt idx="30">
                  <c:v>3.14735336194562E-2</c:v>
                </c:pt>
                <c:pt idx="31">
                  <c:v>3.2763532763532721E-2</c:v>
                </c:pt>
                <c:pt idx="32">
                  <c:v>3.9942938659058652E-2</c:v>
                </c:pt>
                <c:pt idx="33">
                  <c:v>4.5454545454545289E-2</c:v>
                </c:pt>
                <c:pt idx="34">
                  <c:v>5.5397727272727147E-2</c:v>
                </c:pt>
                <c:pt idx="35">
                  <c:v>7.3518915060671028E-2</c:v>
                </c:pt>
                <c:pt idx="36">
                  <c:v>7.5931232091690504E-2</c:v>
                </c:pt>
                <c:pt idx="37">
                  <c:v>6.5761258041458104E-2</c:v>
                </c:pt>
                <c:pt idx="38">
                  <c:v>5.840455840455832E-2</c:v>
                </c:pt>
                <c:pt idx="39">
                  <c:v>5.9962228517469331E-2</c:v>
                </c:pt>
                <c:pt idx="40">
                  <c:v>6.1502347417840483E-2</c:v>
                </c:pt>
                <c:pt idx="41">
                  <c:v>6.2281315605318445E-2</c:v>
                </c:pt>
                <c:pt idx="42">
                  <c:v>5.2704576976421801E-2</c:v>
                </c:pt>
                <c:pt idx="43">
                  <c:v>6.1379310344827624E-2</c:v>
                </c:pt>
                <c:pt idx="44">
                  <c:v>6.1042524005486806E-2</c:v>
                </c:pt>
                <c:pt idx="45">
                  <c:v>6.2500000000000125E-2</c:v>
                </c:pt>
                <c:pt idx="46">
                  <c:v>6.5948855989232918E-2</c:v>
                </c:pt>
                <c:pt idx="47">
                  <c:v>5.6515957446808505E-2</c:v>
                </c:pt>
                <c:pt idx="48">
                  <c:v>4.7270306258322389E-2</c:v>
                </c:pt>
                <c:pt idx="49">
                  <c:v>5.030181086519115E-2</c:v>
                </c:pt>
                <c:pt idx="50">
                  <c:v>5.5181695827725558E-2</c:v>
                </c:pt>
                <c:pt idx="51">
                  <c:v>5.4342984409799698E-2</c:v>
                </c:pt>
                <c:pt idx="52">
                  <c:v>6.4130915524104312E-2</c:v>
                </c:pt>
                <c:pt idx="53">
                  <c:v>6.2582345191040833E-2</c:v>
                </c:pt>
                <c:pt idx="54">
                  <c:v>7.0487483530961709E-2</c:v>
                </c:pt>
                <c:pt idx="55">
                  <c:v>6.0428849902533999E-2</c:v>
                </c:pt>
                <c:pt idx="56">
                  <c:v>5.4945054945054951E-2</c:v>
                </c:pt>
                <c:pt idx="57">
                  <c:v>5.8184143222506354E-2</c:v>
                </c:pt>
                <c:pt idx="58">
                  <c:v>5.2398989898989792E-2</c:v>
                </c:pt>
                <c:pt idx="59">
                  <c:v>4.5940843297671383E-2</c:v>
                </c:pt>
                <c:pt idx="60">
                  <c:v>5.3401144310235071E-2</c:v>
                </c:pt>
                <c:pt idx="61">
                  <c:v>6.066411238825032E-2</c:v>
                </c:pt>
                <c:pt idx="62">
                  <c:v>6.9515306122448828E-2</c:v>
                </c:pt>
                <c:pt idx="63">
                  <c:v>7.7946768060836391E-2</c:v>
                </c:pt>
                <c:pt idx="64">
                  <c:v>7.0448877805486171E-2</c:v>
                </c:pt>
                <c:pt idx="65">
                  <c:v>7.0055796652200755E-2</c:v>
                </c:pt>
                <c:pt idx="66">
                  <c:v>6.7076923076923117E-2</c:v>
                </c:pt>
                <c:pt idx="67">
                  <c:v>6.8014705882353088E-2</c:v>
                </c:pt>
                <c:pt idx="68">
                  <c:v>7.4142156862745237E-2</c:v>
                </c:pt>
                <c:pt idx="69">
                  <c:v>6.7673716012084523E-2</c:v>
                </c:pt>
                <c:pt idx="70">
                  <c:v>5.8788242351529768E-2</c:v>
                </c:pt>
                <c:pt idx="71">
                  <c:v>5.7160048134777382E-2</c:v>
                </c:pt>
                <c:pt idx="72">
                  <c:v>6.5178032589016374E-2</c:v>
                </c:pt>
                <c:pt idx="73">
                  <c:v>6.6827212522576729E-2</c:v>
                </c:pt>
                <c:pt idx="74">
                  <c:v>5.6648777579010143E-2</c:v>
                </c:pt>
                <c:pt idx="75">
                  <c:v>4.7031158142269255E-2</c:v>
                </c:pt>
                <c:pt idx="76">
                  <c:v>4.3098427489807842E-2</c:v>
                </c:pt>
              </c:numCache>
            </c:numRef>
          </c:val>
          <c:smooth val="0"/>
          <c:extLst>
            <c:ext xmlns:c16="http://schemas.microsoft.com/office/drawing/2014/chart" uri="{C3380CC4-5D6E-409C-BE32-E72D297353CC}">
              <c16:uniqueId val="{00000000-2588-44AB-B99F-6DF8B4113F4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131383984"/>
        <c:axId val="1131382736"/>
      </c:lineChart>
      <c:dateAx>
        <c:axId val="1131383984"/>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1382736"/>
        <c:crosses val="autoZero"/>
        <c:auto val="1"/>
        <c:lblOffset val="100"/>
        <c:baseTimeUnit val="months"/>
      </c:dateAx>
      <c:valAx>
        <c:axId val="1131382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138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Food MOM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'Q3 - Food Deep Dive'!$B$1</c:f>
              <c:strCache>
                <c:ptCount val="1"/>
                <c:pt idx="0">
                  <c:v>Food MoM %</c:v>
                </c:pt>
              </c:strCache>
            </c:strRef>
          </c:tx>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'Q3 - Food Deep Dive'!$A$2:$A$13</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'Q3 - Food Deep Dive'!$B$2:$B$13</c:f>
              <c:numCache>
                <c:formatCode>0.00%</c:formatCode>
                <c:ptCount val="12"/>
                <c:pt idx="0">
                  <c:v>9.2325447201384546E-3</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val>
          <c:smooth val="0"/>
          <c:extLst>
            <c:ext xmlns:c16="http://schemas.microsoft.com/office/drawing/2014/chart" uri="{C3380CC4-5D6E-409C-BE32-E72D297353CC}">
              <c16:uniqueId val="{00000000-E534-4623-BED8-3D75CA4DD10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407554384"/>
        <c:axId val="407576432"/>
      </c:lineChart>
      <c:dateAx>
        <c:axId val="407554384"/>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7576432"/>
        <c:crosses val="autoZero"/>
        <c:auto val="1"/>
        <c:lblOffset val="100"/>
        <c:baseTimeUnit val="months"/>
      </c:dateAx>
      <c:valAx>
        <c:axId val="4075764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755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r>
              <a:rPr lang="en-IN" sz="1400" b="1" i="0" u="sng" strike="noStrike" baseline="0">
                <a:solidFill>
                  <a:schemeClr val="bg1"/>
                </a:solidFill>
              </a:rPr>
              <a:t>COVID-19 Impact on Inflation: Before vs. After March 2020</a:t>
            </a:r>
            <a:endParaRPr lang="en-IN" b="1" u="sng">
              <a:solidFill>
                <a:schemeClr val="bg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'Q4 - COVID Impact'!$B$1</c:f>
              <c:strCache>
                <c:ptCount val="1"/>
                <c:pt idx="0">
                  <c:v>Avg MoM % (Before: Mar'19-Feb'20)</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'Q4 - COVID Impact'!$A$2:$A$5</c:f>
              <c:strCache>
                <c:ptCount val="4"/>
                <c:pt idx="0">
                  <c:v>Health</c:v>
                </c:pt>
                <c:pt idx="1">
                  <c:v>Food and beverages</c:v>
                </c:pt>
                <c:pt idx="2">
                  <c:v>Transport and communication</c:v>
                </c:pt>
                <c:pt idx="3">
                  <c:v>General index</c:v>
                </c:pt>
              </c:strCache>
            </c:strRef>
          </c:cat>
          <c:val>
            <c:numRef>
              <c:f>'Q4 - COVID Impact'!$B$2:$B$5</c:f>
              <c:numCache>
                <c:formatCode>0.00%</c:formatCode>
                <c:ptCount val="4"/>
                <c:pt idx="0">
                  <c:v>3.426299695059858E-3</c:v>
                </c:pt>
                <c:pt idx="1">
                  <c:v>7.6173418140382818E-3</c:v>
                </c:pt>
                <c:pt idx="2">
                  <c:v>4.2321296102583953E-3</c:v>
                </c:pt>
                <c:pt idx="3">
                  <c:v>5.3342386494205371E-3</c:v>
                </c:pt>
              </c:numCache>
            </c:numRef>
          </c:val>
          <c:extLst>
            <c:ext xmlns:c16="http://schemas.microsoft.com/office/drawing/2014/chart" uri="{C3380CC4-5D6E-409C-BE32-E72D297353CC}">
              <c16:uniqueId val="{00000000-75C4-463F-9209-E6458A4A6CD7}"/>
            </c:ext>
          </c:extLst>
        </c:ser>
        <c:ser>
          <c:idx val="1"/>
          <c:order val="1"/>
          <c:tx>
            <c:strRef>
              <c:f>'Q4 - COVID Impact'!$C$1</c:f>
              <c:strCache>
                <c:ptCount val="1"/>
                <c:pt idx="0">
                  <c:v>Avg MoM % (After: Mar'20-Feb'21)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'Q4 - COVID Impact'!$A$2:$A$5</c:f>
              <c:strCache>
                <c:ptCount val="4"/>
                <c:pt idx="0">
                  <c:v>Health</c:v>
                </c:pt>
                <c:pt idx="1">
                  <c:v>Food and beverages</c:v>
                </c:pt>
                <c:pt idx="2">
                  <c:v>Transport and communication</c:v>
                </c:pt>
                <c:pt idx="3">
                  <c:v>General index</c:v>
                </c:pt>
              </c:strCache>
            </c:strRef>
          </c:cat>
          <c:val>
            <c:numRef>
              <c:f>'Q4 - COVID Impact'!$C$2:$C$5</c:f>
              <c:numCache>
                <c:formatCode>0.00%</c:formatCode>
                <c:ptCount val="4"/>
                <c:pt idx="0">
                  <c:v>5.1495311022466527E-3</c:v>
                </c:pt>
                <c:pt idx="1">
                  <c:v>3.6052022733826308E-3</c:v>
                </c:pt>
                <c:pt idx="2">
                  <c:v>9.0428262132259147E-3</c:v>
                </c:pt>
                <c:pt idx="3">
                  <c:v>4.1228556819255064E-3</c:v>
                </c:pt>
              </c:numCache>
            </c:numRef>
          </c:val>
          <c:extLst>
            <c:ext xmlns:c16="http://schemas.microsoft.com/office/drawing/2014/chart" uri="{C3380CC4-5D6E-409C-BE32-E72D297353CC}">
              <c16:uniqueId val="{00000001-75C4-463F-9209-E6458A4A6CD7}"/>
            </c:ext>
          </c:extLst>
        </c:ser>
        <c:dLbls>
          <c:showLegendKey val="0"/>
          <c:showVal val="0"/>
          <c:showCatName val="0"/>
          <c:showSerName val="0"/>
          <c:showPercent val="0"/>
          <c:showBubbleSize val="0"/>
        </c:dLbls>
        <c:gapWidth val="182"/>
        <c:axId val="693525184"/>
        <c:axId val="693528512"/>
      </c:barChart>
      <c:catAx>
        <c:axId val="69352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3528512"/>
        <c:crosses val="autoZero"/>
        <c:auto val="1"/>
        <c:lblAlgn val="ctr"/>
        <c:lblOffset val="100"/>
        <c:noMultiLvlLbl val="0"/>
      </c:catAx>
      <c:valAx>
        <c:axId val="6935285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3525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r>
              <a:rPr lang="en-IN" sz="1400" b="1" i="0" u="sng" strike="noStrike" baseline="0">
                <a:solidFill>
                  <a:schemeClr val="bg1"/>
                </a:solidFill>
              </a:rPr>
              <a:t>Inflation Progression Through 2020: Health, Food &amp; General Index</a:t>
            </a:r>
            <a:endParaRPr lang="en-IN" b="1" u="sng">
              <a:solidFill>
                <a:schemeClr val="bg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'Q4 - COVID Impact'!$J$1</c:f>
              <c:strCache>
                <c:ptCount val="1"/>
                <c:pt idx="0">
                  <c:v>Health MoM%</c:v>
                </c:pt>
              </c:strCache>
            </c:strRef>
          </c:tx>
          <c:spPr>
            <a:ln w="28575" cap="rnd">
              <a:solidFill>
                <a:schemeClr val="accent1">
                  <a:lumMod val="40000"/>
                  <a:lumOff val="60000"/>
                </a:schemeClr>
              </a:solidFill>
              <a:round/>
            </a:ln>
            <a:effectLst/>
          </c:spPr>
          <c:marker>
            <c:symbol val="none"/>
          </c:marker>
          <c:cat>
            <c:numRef>
              <c:f>'Q4 - COVID Impact'!$I$2:$I$13</c:f>
              <c:numCache>
                <c:formatCode>m/d/yyyy</c:formatCode>
                <c:ptCount val="1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numCache>
            </c:numRef>
          </c:cat>
          <c:val>
            <c:numRef>
              <c:f>'Q4 - COVID Impact'!$J$2:$J$13</c:f>
              <c:numCache>
                <c:formatCode>0.00%</c:formatCode>
                <c:ptCount val="12"/>
                <c:pt idx="0">
                  <c:v>5.319148936170099E-3</c:v>
                </c:pt>
                <c:pt idx="1">
                  <c:v>3.3068783068783071E-3</c:v>
                </c:pt>
                <c:pt idx="2">
                  <c:v>3.9551746868821541E-3</c:v>
                </c:pt>
                <c:pt idx="3">
                  <c:v>-1.0505581089954186E-2</c:v>
                </c:pt>
                <c:pt idx="4">
                  <c:v>1.9907100199071191E-2</c:v>
                </c:pt>
                <c:pt idx="5">
                  <c:v>4.5543266102796914E-3</c:v>
                </c:pt>
                <c:pt idx="6">
                  <c:v>0</c:v>
                </c:pt>
                <c:pt idx="7">
                  <c:v>3.8860103626942636E-3</c:v>
                </c:pt>
                <c:pt idx="8">
                  <c:v>3.870967741935447E-3</c:v>
                </c:pt>
                <c:pt idx="9">
                  <c:v>4.4987146529564077E-3</c:v>
                </c:pt>
                <c:pt idx="10">
                  <c:v>5.7581573896351712E-3</c:v>
                </c:pt>
                <c:pt idx="11">
                  <c:v>6.9974554707380584E-3</c:v>
                </c:pt>
              </c:numCache>
            </c:numRef>
          </c:val>
          <c:smooth val="0"/>
          <c:extLst>
            <c:ext xmlns:c16="http://schemas.microsoft.com/office/drawing/2014/chart" uri="{C3380CC4-5D6E-409C-BE32-E72D297353CC}">
              <c16:uniqueId val="{00000000-D33D-4F49-B8F4-632781D865BE}"/>
            </c:ext>
          </c:extLst>
        </c:ser>
        <c:ser>
          <c:idx val="1"/>
          <c:order val="1"/>
          <c:tx>
            <c:strRef>
              <c:f>'Q4 - COVID Impact'!$K$1</c:f>
              <c:strCache>
                <c:ptCount val="1"/>
                <c:pt idx="0">
                  <c:v>Food MoM%</c:v>
                </c:pt>
              </c:strCache>
            </c:strRef>
          </c:tx>
          <c:spPr>
            <a:ln w="28575" cap="rnd">
              <a:solidFill>
                <a:schemeClr val="accent2"/>
              </a:solidFill>
              <a:round/>
            </a:ln>
            <a:effectLst/>
          </c:spPr>
          <c:marker>
            <c:symbol val="none"/>
          </c:marker>
          <c:cat>
            <c:numRef>
              <c:f>'Q4 - COVID Impact'!$I$2:$I$13</c:f>
              <c:numCache>
                <c:formatCode>m/d/yyyy</c:formatCode>
                <c:ptCount val="1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numCache>
            </c:numRef>
          </c:cat>
          <c:val>
            <c:numRef>
              <c:f>'Q4 - COVID Impact'!$K$2:$K$13</c:f>
              <c:numCache>
                <c:formatCode>0.00%</c:formatCode>
                <c:ptCount val="12"/>
                <c:pt idx="0">
                  <c:v>-9.6774193548387101E-3</c:v>
                </c:pt>
                <c:pt idx="1">
                  <c:v>-1.9543973941368076E-2</c:v>
                </c:pt>
                <c:pt idx="2">
                  <c:v>-1.0631229235880361E-2</c:v>
                </c:pt>
                <c:pt idx="3">
                  <c:v>1.6789791806581598E-2</c:v>
                </c:pt>
                <c:pt idx="4">
                  <c:v>5.9445178335535377E-3</c:v>
                </c:pt>
                <c:pt idx="5">
                  <c:v>1.116217990807609E-2</c:v>
                </c:pt>
                <c:pt idx="6">
                  <c:v>0</c:v>
                </c:pt>
                <c:pt idx="7">
                  <c:v>1.948051948051948E-2</c:v>
                </c:pt>
                <c:pt idx="8">
                  <c:v>6.369426751592357E-3</c:v>
                </c:pt>
                <c:pt idx="9">
                  <c:v>2.1518987341772187E-2</c:v>
                </c:pt>
                <c:pt idx="10">
                  <c:v>2.0446096654274985E-2</c:v>
                </c:pt>
                <c:pt idx="11">
                  <c:v>4.2501517911355015E-3</c:v>
                </c:pt>
              </c:numCache>
            </c:numRef>
          </c:val>
          <c:smooth val="0"/>
          <c:extLst>
            <c:ext xmlns:c16="http://schemas.microsoft.com/office/drawing/2014/chart" uri="{C3380CC4-5D6E-409C-BE32-E72D297353CC}">
              <c16:uniqueId val="{00000001-D33D-4F49-B8F4-632781D865BE}"/>
            </c:ext>
          </c:extLst>
        </c:ser>
        <c:ser>
          <c:idx val="2"/>
          <c:order val="2"/>
          <c:tx>
            <c:strRef>
              <c:f>'Q4 - COVID Impact'!$L$1</c:f>
              <c:strCache>
                <c:ptCount val="1"/>
                <c:pt idx="0">
                  <c:v>General Index MoM%</c:v>
                </c:pt>
              </c:strCache>
            </c:strRef>
          </c:tx>
          <c:spPr>
            <a:ln w="28575" cap="rnd">
              <a:solidFill>
                <a:schemeClr val="accent4">
                  <a:lumMod val="60000"/>
                  <a:lumOff val="40000"/>
                </a:schemeClr>
              </a:solidFill>
              <a:round/>
            </a:ln>
            <a:effectLst/>
          </c:spPr>
          <c:marker>
            <c:symbol val="none"/>
          </c:marker>
          <c:cat>
            <c:numRef>
              <c:f>'Q4 - COVID Impact'!$I$2:$I$13</c:f>
              <c:numCache>
                <c:formatCode>m/d/yyyy</c:formatCode>
                <c:ptCount val="1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numCache>
            </c:numRef>
          </c:cat>
          <c:val>
            <c:numRef>
              <c:f>'Q4 - COVID Impact'!$L$2:$L$13</c:f>
              <c:numCache>
                <c:formatCode>0.00%</c:formatCode>
                <c:ptCount val="12"/>
                <c:pt idx="0">
                  <c:v>-1.3297872340426666E-3</c:v>
                </c:pt>
                <c:pt idx="1">
                  <c:v>-7.3235685752329853E-3</c:v>
                </c:pt>
                <c:pt idx="2">
                  <c:v>-3.3534540576794099E-3</c:v>
                </c:pt>
                <c:pt idx="3">
                  <c:v>7.1781067743382429E-3</c:v>
                </c:pt>
                <c:pt idx="4">
                  <c:v>7.1269487750558443E-3</c:v>
                </c:pt>
                <c:pt idx="5">
                  <c:v>7.0765148164528714E-3</c:v>
                </c:pt>
                <c:pt idx="6">
                  <c:v>0</c:v>
                </c:pt>
                <c:pt idx="7">
                  <c:v>1.3833992094861622E-2</c:v>
                </c:pt>
                <c:pt idx="8">
                  <c:v>5.1981806367770167E-3</c:v>
                </c:pt>
                <c:pt idx="9">
                  <c:v>1.0989010989011101E-2</c:v>
                </c:pt>
                <c:pt idx="10">
                  <c:v>1.278772378516624E-2</c:v>
                </c:pt>
                <c:pt idx="11">
                  <c:v>3.1565656565656565E-3</c:v>
                </c:pt>
              </c:numCache>
            </c:numRef>
          </c:val>
          <c:smooth val="0"/>
          <c:extLst>
            <c:ext xmlns:c16="http://schemas.microsoft.com/office/drawing/2014/chart" uri="{C3380CC4-5D6E-409C-BE32-E72D297353CC}">
              <c16:uniqueId val="{00000002-D33D-4F49-B8F4-632781D865BE}"/>
            </c:ext>
          </c:extLst>
        </c:ser>
        <c:dLbls>
          <c:showLegendKey val="0"/>
          <c:showVal val="0"/>
          <c:showCatName val="0"/>
          <c:showSerName val="0"/>
          <c:showPercent val="0"/>
          <c:showBubbleSize val="0"/>
        </c:dLbls>
        <c:smooth val="0"/>
        <c:axId val="71725856"/>
        <c:axId val="71722528"/>
      </c:lineChart>
      <c:dateAx>
        <c:axId val="7172585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22528"/>
        <c:crosses val="autoZero"/>
        <c:auto val="1"/>
        <c:lblOffset val="100"/>
        <c:baseTimeUnit val="months"/>
      </c:dateAx>
      <c:valAx>
        <c:axId val="71722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2585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'Q5 - Oil Correlation'!$B$1</c:f>
              <c:strCache>
                <c:ptCount val="1"/>
                <c:pt idx="0">
                  <c:v>Correlation with Oil MoM%</c:v>
                </c:pt>
              </c:strCache>
            </c:strRef>
          </c:tx>
          <c:spPr>
            <a:solidFill>
              <a:srgbClr val="FFFF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19-7FD1-48D6-B1B4-5DE01806FCCB}"/>
              </c:ext>
            </c:extLst>
          </c:dPt>
          <c:dPt>
            <c:idx val="2"/>
            <c:invertIfNegative val="0"/>
            <c:bubble3D val="0"/>
            <c:spPr>
              <a:solidFill>
                <a:srgbClr val="C00000"/>
              </a:solidFill>
              <a:ln>
                <a:noFill/>
              </a:ln>
              <a:effectLst/>
            </c:spPr>
            <c:extLst>
              <c:ext xmlns:c16="http://schemas.microsoft.com/office/drawing/2014/chart" uri="{C3380CC4-5D6E-409C-BE32-E72D297353CC}">
                <c16:uniqueId val="{00000018-7FD1-48D6-B1B4-5DE01806FCCB}"/>
              </c:ext>
            </c:extLst>
          </c:dPt>
          <c:dPt>
            <c:idx val="3"/>
            <c:invertIfNegative val="0"/>
            <c:bubble3D val="0"/>
            <c:spPr>
              <a:solidFill>
                <a:srgbClr val="C00000"/>
              </a:solidFill>
              <a:ln>
                <a:noFill/>
              </a:ln>
              <a:effectLst/>
            </c:spPr>
            <c:extLst>
              <c:ext xmlns:c16="http://schemas.microsoft.com/office/drawing/2014/chart" uri="{C3380CC4-5D6E-409C-BE32-E72D297353CC}">
                <c16:uniqueId val="{00000017-7FD1-48D6-B1B4-5DE01806FCCB}"/>
              </c:ext>
            </c:extLst>
          </c:dPt>
          <c:dPt>
            <c:idx val="7"/>
            <c:invertIfNegative val="0"/>
            <c:bubble3D val="0"/>
            <c:spPr>
              <a:solidFill>
                <a:srgbClr val="C00000"/>
              </a:solidFill>
              <a:ln>
                <a:noFill/>
              </a:ln>
              <a:effectLst/>
            </c:spPr>
            <c:extLst>
              <c:ext xmlns:c16="http://schemas.microsoft.com/office/drawing/2014/chart" uri="{C3380CC4-5D6E-409C-BE32-E72D297353CC}">
                <c16:uniqueId val="{00000016-7FD1-48D6-B1B4-5DE01806FCCB}"/>
              </c:ext>
            </c:extLst>
          </c:dPt>
          <c:dPt>
            <c:idx val="8"/>
            <c:invertIfNegative val="0"/>
            <c:bubble3D val="0"/>
            <c:spPr>
              <a:solidFill>
                <a:srgbClr val="C00000"/>
              </a:solidFill>
              <a:ln>
                <a:noFill/>
              </a:ln>
              <a:effectLst/>
            </c:spPr>
            <c:extLst>
              <c:ext xmlns:c16="http://schemas.microsoft.com/office/drawing/2014/chart" uri="{C3380CC4-5D6E-409C-BE32-E72D297353CC}">
                <c16:uniqueId val="{00000015-7FD1-48D6-B1B4-5DE01806FCCB}"/>
              </c:ext>
            </c:extLst>
          </c:dPt>
          <c:dPt>
            <c:idx val="9"/>
            <c:invertIfNegative val="0"/>
            <c:bubble3D val="0"/>
            <c:spPr>
              <a:solidFill>
                <a:srgbClr val="C00000"/>
              </a:solidFill>
              <a:ln>
                <a:noFill/>
              </a:ln>
              <a:effectLst/>
            </c:spPr>
            <c:extLst>
              <c:ext xmlns:c16="http://schemas.microsoft.com/office/drawing/2014/chart" uri="{C3380CC4-5D6E-409C-BE32-E72D297353CC}">
                <c16:uniqueId val="{00000014-7FD1-48D6-B1B4-5DE01806FCCB}"/>
              </c:ext>
            </c:extLst>
          </c:dPt>
          <c:dPt>
            <c:idx val="23"/>
            <c:invertIfNegative val="0"/>
            <c:bubble3D val="0"/>
            <c:spPr>
              <a:solidFill>
                <a:srgbClr val="C00000"/>
              </a:solidFill>
              <a:ln>
                <a:noFill/>
              </a:ln>
              <a:effectLst/>
            </c:spPr>
            <c:extLst>
              <c:ext xmlns:c16="http://schemas.microsoft.com/office/drawing/2014/chart" uri="{C3380CC4-5D6E-409C-BE32-E72D297353CC}">
                <c16:uniqueId val="{00000013-7FD1-48D6-B1B4-5DE01806FCCB}"/>
              </c:ext>
            </c:extLst>
          </c:dPt>
          <c:cat>
            <c:strRef>
              <c:f>'Q5 - Oil Correlation'!$A$2:$A$28</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'Q5 - Oil Correlation'!$B$2:$B$28</c:f>
              <c:numCache>
                <c:formatCode>0.00</c:formatCode>
                <c:ptCount val="27"/>
                <c:pt idx="0">
                  <c:v>-0.24805294417741411</c:v>
                </c:pt>
                <c:pt idx="1">
                  <c:v>0.44404114935161448</c:v>
                </c:pt>
                <c:pt idx="2">
                  <c:v>-0.17551885990141713</c:v>
                </c:pt>
                <c:pt idx="3">
                  <c:v>-0.27398891403290432</c:v>
                </c:pt>
                <c:pt idx="4">
                  <c:v>0.40288737036648758</c:v>
                </c:pt>
                <c:pt idx="5">
                  <c:v>8.6079960795508406E-2</c:v>
                </c:pt>
                <c:pt idx="6">
                  <c:v>3.0593198141110781E-2</c:v>
                </c:pt>
                <c:pt idx="7">
                  <c:v>-0.19229585604967478</c:v>
                </c:pt>
                <c:pt idx="8">
                  <c:v>-0.18635779397693969</c:v>
                </c:pt>
                <c:pt idx="9">
                  <c:v>-0.14638646974703218</c:v>
                </c:pt>
                <c:pt idx="10">
                  <c:v>0.14172257541669017</c:v>
                </c:pt>
                <c:pt idx="11">
                  <c:v>5.9577524913414823E-2</c:v>
                </c:pt>
                <c:pt idx="12">
                  <c:v>0.10585094009522682</c:v>
                </c:pt>
                <c:pt idx="13">
                  <c:v>0.15683405444967519</c:v>
                </c:pt>
                <c:pt idx="14">
                  <c:v>0.10340561965126466</c:v>
                </c:pt>
                <c:pt idx="15">
                  <c:v>0.17820950666981789</c:v>
                </c:pt>
                <c:pt idx="16">
                  <c:v>0.12211689944468027</c:v>
                </c:pt>
                <c:pt idx="17">
                  <c:v>0.12963362734157097</c:v>
                </c:pt>
                <c:pt idx="18">
                  <c:v>9.4169945158351642E-2</c:v>
                </c:pt>
                <c:pt idx="19">
                  <c:v>2.7133749008399688E-3</c:v>
                </c:pt>
                <c:pt idx="20">
                  <c:v>5.8301361081974326E-2</c:v>
                </c:pt>
                <c:pt idx="21">
                  <c:v>8.2848666798967546E-2</c:v>
                </c:pt>
                <c:pt idx="22">
                  <c:v>0.107837172423334</c:v>
                </c:pt>
                <c:pt idx="23">
                  <c:v>-0.15087702012638235</c:v>
                </c:pt>
                <c:pt idx="24">
                  <c:v>7.9638445881501568E-2</c:v>
                </c:pt>
                <c:pt idx="25">
                  <c:v>7.7950806014499024E-2</c:v>
                </c:pt>
                <c:pt idx="26">
                  <c:v>0.12927341119107491</c:v>
                </c:pt>
              </c:numCache>
            </c:numRef>
          </c:val>
          <c:extLst>
            <c:ext xmlns:c16="http://schemas.microsoft.com/office/drawing/2014/chart" uri="{C3380CC4-5D6E-409C-BE32-E72D297353CC}">
              <c16:uniqueId val="{00000000-7FD1-48D6-B1B4-5DE01806FCCB}"/>
            </c:ext>
          </c:extLst>
        </c:ser>
        <c:dLbls>
          <c:showLegendKey val="0"/>
          <c:showVal val="0"/>
          <c:showCatName val="0"/>
          <c:showSerName val="0"/>
          <c:showPercent val="0"/>
          <c:showBubbleSize val="0"/>
        </c:dLbls>
        <c:gapWidth val="182"/>
        <c:axId val="318476799"/>
        <c:axId val="318473471"/>
      </c:barChart>
      <c:catAx>
        <c:axId val="3184767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8473471"/>
        <c:crosses val="autoZero"/>
        <c:auto val="1"/>
        <c:lblAlgn val="ctr"/>
        <c:lblOffset val="100"/>
        <c:noMultiLvlLbl val="0"/>
      </c:catAx>
      <c:valAx>
        <c:axId val="318473471"/>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8476799"/>
        <c:crosses val="autoZero"/>
        <c:crossBetween val="between"/>
      </c:valAx>
      <c:spPr>
        <a:noFill/>
        <a:ln>
          <a:noFill/>
        </a:ln>
        <a:effectLst/>
      </c:spPr>
    </c:plotArea>
    <c:plotVisOnly val="1"/>
    <c:dispBlanksAs val="gap"/>
    <c:showDLblsOverMax val="0"/>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9525</xdr:colOff>
      <xdr:row>1</xdr:row>
      <xdr:rowOff>9524</xdr:rowOff>
    </xdr:from>
    <xdr:to>
      <xdr:col>22</xdr:col>
      <xdr:colOff>600075</xdr:colOff>
      <xdr:row>25</xdr:row>
      <xdr:rowOff>19049</xdr:rowOff>
    </xdr:to>
    <xdr:graphicFrame macro="">
      <xdr:nvGraphicFramePr>
        <xdr:cNvPr id="3" name="Chart 2">
          <a:extLst>
            <a:ext uri="{FF2B5EF4-FFF2-40B4-BE49-F238E27FC236}">
              <a16:creationId xmlns:a16="http://schemas.microsoft.com/office/drawing/2014/main" id="{FB377CDC-908C-4A17-8B0D-504102F8F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xdr:colOff>
      <xdr:row>1</xdr:row>
      <xdr:rowOff>9526</xdr:rowOff>
    </xdr:from>
    <xdr:to>
      <xdr:col>24</xdr:col>
      <xdr:colOff>1</xdr:colOff>
      <xdr:row>30</xdr:row>
      <xdr:rowOff>180976</xdr:rowOff>
    </xdr:to>
    <xdr:graphicFrame macro="">
      <xdr:nvGraphicFramePr>
        <xdr:cNvPr id="2" name="Chart 1">
          <a:extLst>
            <a:ext uri="{FF2B5EF4-FFF2-40B4-BE49-F238E27FC236}">
              <a16:creationId xmlns:a16="http://schemas.microsoft.com/office/drawing/2014/main" id="{F2650E85-04B2-47E6-BDEB-5F341DBE0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9524</xdr:colOff>
      <xdr:row>1</xdr:row>
      <xdr:rowOff>9525</xdr:rowOff>
    </xdr:from>
    <xdr:to>
      <xdr:col>7</xdr:col>
      <xdr:colOff>2114549</xdr:colOff>
      <xdr:row>21</xdr:row>
      <xdr:rowOff>9525</xdr:rowOff>
    </xdr:to>
    <xdr:graphicFrame macro="">
      <xdr:nvGraphicFramePr>
        <xdr:cNvPr id="2" name="Chart 1">
          <a:extLst>
            <a:ext uri="{FF2B5EF4-FFF2-40B4-BE49-F238E27FC236}">
              <a16:creationId xmlns:a16="http://schemas.microsoft.com/office/drawing/2014/main" id="{DECB7802-1C0E-45BA-977B-BE44B597E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xdr:colOff>
      <xdr:row>6</xdr:row>
      <xdr:rowOff>9525</xdr:rowOff>
    </xdr:from>
    <xdr:to>
      <xdr:col>3</xdr:col>
      <xdr:colOff>914399</xdr:colOff>
      <xdr:row>24</xdr:row>
      <xdr:rowOff>180975</xdr:rowOff>
    </xdr:to>
    <xdr:graphicFrame macro="">
      <xdr:nvGraphicFramePr>
        <xdr:cNvPr id="2" name="Chart 1">
          <a:extLst>
            <a:ext uri="{FF2B5EF4-FFF2-40B4-BE49-F238E27FC236}">
              <a16:creationId xmlns:a16="http://schemas.microsoft.com/office/drawing/2014/main" id="{24071574-3968-48FA-8C0F-D25615F42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0</xdr:rowOff>
    </xdr:from>
    <xdr:to>
      <xdr:col>17</xdr:col>
      <xdr:colOff>9525</xdr:colOff>
      <xdr:row>37</xdr:row>
      <xdr:rowOff>0</xdr:rowOff>
    </xdr:to>
    <xdr:graphicFrame macro="">
      <xdr:nvGraphicFramePr>
        <xdr:cNvPr id="3" name="Chart 2">
          <a:extLst>
            <a:ext uri="{FF2B5EF4-FFF2-40B4-BE49-F238E27FC236}">
              <a16:creationId xmlns:a16="http://schemas.microsoft.com/office/drawing/2014/main" id="{04EBC066-3135-4A1D-A9CC-4B9E231B7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1</xdr:row>
      <xdr:rowOff>9524</xdr:rowOff>
    </xdr:from>
    <xdr:to>
      <xdr:col>23</xdr:col>
      <xdr:colOff>9525</xdr:colOff>
      <xdr:row>27</xdr:row>
      <xdr:rowOff>171449</xdr:rowOff>
    </xdr:to>
    <xdr:graphicFrame macro="">
      <xdr:nvGraphicFramePr>
        <xdr:cNvPr id="2" name="Chart 1">
          <a:extLst>
            <a:ext uri="{FF2B5EF4-FFF2-40B4-BE49-F238E27FC236}">
              <a16:creationId xmlns:a16="http://schemas.microsoft.com/office/drawing/2014/main" id="{972AA5DA-ACE8-495A-AB11-6E5B7DED6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C396EDA-1BAD-4333-BD20-DF166129A1D9}" autoFormatId="16" applyNumberFormats="0" applyBorderFormats="0" applyFontFormats="0" applyPatternFormats="0" applyAlignmentFormats="0" applyWidthHeightFormats="0">
  <queryTableRefresh nextId="32">
    <queryTableFields count="31">
      <queryTableField id="1" name="Date" tableColumnId="1"/>
      <queryTableField id="2" name="Sector" tableColumnId="2"/>
      <queryTableField id="3" name="Year" tableColumnId="3"/>
      <queryTableField id="4" name="Month" tableColumnId="4"/>
      <queryTableField id="5" name="Cereals and products" tableColumnId="5"/>
      <queryTableField id="6" name="Meat and fish" tableColumnId="6"/>
      <queryTableField id="7" name="Egg" tableColumnId="7"/>
      <queryTableField id="8" name="Milk and products" tableColumnId="8"/>
      <queryTableField id="9" name="Oils and fats" tableColumnId="9"/>
      <queryTableField id="10" name="Fruits" tableColumnId="10"/>
      <queryTableField id="11" name="Vegetables" tableColumnId="11"/>
      <queryTableField id="12" name="Pulses and products" tableColumnId="12"/>
      <queryTableField id="13" name="Sugar and Confectionery" tableColumnId="13"/>
      <queryTableField id="14" name="Spices" tableColumnId="14"/>
      <queryTableField id="15" name="Non-alcoholic beverages" tableColumnId="15"/>
      <queryTableField id="16" name="Prepared meals, snacks, sweets etc." tableColumnId="16"/>
      <queryTableField id="17" name="Food and beverages" tableColumnId="17"/>
      <queryTableField id="18" name="Pan, tobacco and intoxicants" tableColumnId="18"/>
      <queryTableField id="19" name="Clothing" tableColumnId="19"/>
      <queryTableField id="20" name="Footwear" tableColumnId="20"/>
      <queryTableField id="21" name="Clothing and footwear" tableColumnId="21"/>
      <queryTableField id="22" name="Housing" tableColumnId="22"/>
      <queryTableField id="23" name="Fuel and light" tableColumnId="23"/>
      <queryTableField id="24" name="Household goods and services" tableColumnId="24"/>
      <queryTableField id="25" name="Health" tableColumnId="25"/>
      <queryTableField id="26" name="Transport and communication" tableColumnId="26"/>
      <queryTableField id="27" name="Recreation and amusement" tableColumnId="27"/>
      <queryTableField id="28" name="Education" tableColumnId="28"/>
      <queryTableField id="29" name="Personal care and effects" tableColumnId="29"/>
      <queryTableField id="30" name="Miscellaneous" tableColumnId="30"/>
      <queryTableField id="31" name="General index" tableColumnId="31"/>
    </queryTableFields>
  </queryTableRefresh>
</queryTable>
</file>

<file path=xl/tables/_rels/table1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A11A1F-FE34-4D54-A335-C313E4D775C3}" name="Table4" displayName="Table4" ref="A1:C24" totalsRowShown="0" headerRowDxfId="79" headerRowBorderDxfId="78" tableBorderDxfId="77" totalsRowBorderDxfId="76">
  <autoFilter ref="A1:C24" xr:uid="{76A11A1F-FE34-4D54-A335-C313E4D775C3}"/>
  <tableColumns count="3">
    <tableColumn id="1" xr3:uid="{CC593A51-582A-4C1A-9DCE-5FC706A3261A}" name="Elementary Category" dataDxfId="75"/>
    <tableColumn id="2" xr3:uid="{77BF71AF-E22D-46C4-A5C2-3DE9393CF58D}" name="Broader Bucket" dataDxfId="74"/>
    <tableColumn id="3" xr3:uid="{37A60BB9-E229-4D04-BA27-174ADF4E6192}" name="May 2023 Index Value" dataDxfId="73"/>
  </tableColumns>
  <tableStyleInfo name="TableStyleDark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DA4D9C-0C8B-4F82-BA84-C340E1ECFE0E}" name="Table6" displayName="Table6" ref="A28:C37" totalsRowShown="0" headerRowDxfId="72" headerRowBorderDxfId="71" tableBorderDxfId="70" totalsRowBorderDxfId="69">
  <autoFilter ref="A28:C37" xr:uid="{B9DA4D9C-0C8B-4F82-BA84-C340E1ECFE0E}"/>
  <tableColumns count="3">
    <tableColumn id="1" xr3:uid="{BAF4F723-FFCF-45E4-9192-0F4894FC6D50}" name="Broader Bucket" dataDxfId="68"/>
    <tableColumn id="2" xr3:uid="{D6ED61F6-7C74-4762-BC67-D8611B67BB3C}" name="Sum of Index Values" dataDxfId="67"/>
    <tableColumn id="3" xr3:uid="{0BA6B607-0451-4357-8F29-F33E0B1D8F4E}" name="Contribution %" dataDxfId="66" dataCellStyle="Percent"/>
  </tableColumns>
  <tableStyleInfo name="TableStyleDark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CF0B42-20B4-4E52-96C2-03FD99BD248F}" name="Table7" displayName="Table7" ref="A1:B78" totalsRowShown="0" headerRowDxfId="65" headerRowBorderDxfId="64" tableBorderDxfId="63" totalsRowBorderDxfId="62">
  <autoFilter ref="A1:B78" xr:uid="{B7CF0B42-20B4-4E52-96C2-03FD99BD248F}"/>
  <tableColumns count="2">
    <tableColumn id="1" xr3:uid="{0CA7406E-C212-4652-BA5A-C7A6006AFD6A}" name="Date" dataDxfId="61">
      <calculatedColumnFormula>'YoY % Change'!A50</calculatedColumnFormula>
    </tableColumn>
    <tableColumn id="2" xr3:uid="{AF8331B6-9286-4DEE-930C-32819EA9C7B7}" name="YoY Inflation (General Index)" dataDxfId="60">
      <calculatedColumnFormula>'YoY % Change'!AE50</calculatedColumnFormula>
    </tableColumn>
  </tableColumns>
  <tableStyleInfo name="TableStyleDark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C49553-3515-48C6-A9E6-EBF12A7A4E7C}" name="Table9" displayName="Table9" ref="E35:E36" totalsRowShown="0" headerRowDxfId="59" dataDxfId="58">
  <autoFilter ref="E35:E36" xr:uid="{64C49553-3515-48C6-A9E6-EBF12A7A4E7C}"/>
  <tableColumns count="1">
    <tableColumn id="1" xr3:uid="{117ACF2D-9236-4C12-84F5-E400E7C7B0FD}" name="Highest inflation year" dataDxfId="57">
      <calculatedColumnFormula>INDEX(D2:D8,MATCH(MAX(E2:E8),E2:E8,0))</calculatedColumnFormula>
    </tableColumn>
  </tableColumns>
  <tableStyleInfo name="TableStyleDark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82B9AF-9358-435D-BC19-409E363FD81D}" name="Table10" displayName="Table10" ref="D1:E8" totalsRowShown="0" headerRowDxfId="56" headerRowBorderDxfId="55" tableBorderDxfId="54" totalsRowBorderDxfId="53">
  <autoFilter ref="D1:E8" xr:uid="{C782B9AF-9358-435D-BC19-409E363FD81D}"/>
  <tableColumns count="2">
    <tableColumn id="1" xr3:uid="{81EA85F5-D181-4980-82F9-209FF7E0855F}" name="Year" dataDxfId="52"/>
    <tableColumn id="2" xr3:uid="{C2D15D11-33B0-416A-B50E-79090CB6528B}" name="Avg YoY Inflation" dataDxfId="0">
      <calculatedColumnFormula>AVERAGEIFS($B$2:$B$78,$A$2:$A$78,"&gt;="&amp;DATE(D2,1,1),$A$2:$A$78,"&lt;="&amp;DATE(D2,12,31))</calculatedColumnFormula>
    </tableColumn>
  </tableColumns>
  <tableStyleInfo name="TableStyleDark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01ECD23-05AE-4F31-8044-598D17506080}" name="Table11" displayName="Table11" ref="A1:B13" totalsRowShown="0" headerRowDxfId="51" dataDxfId="49" headerRowBorderDxfId="50" tableBorderDxfId="48" totalsRowBorderDxfId="47">
  <autoFilter ref="A1:B13" xr:uid="{501ECD23-05AE-4F31-8044-598D17506080}"/>
  <tableColumns count="2">
    <tableColumn id="1" xr3:uid="{12C78F78-2742-44D8-91C3-31BD1F52F4BD}" name="Date" dataDxfId="46">
      <calculatedColumnFormula>'MoM % Change'!A115</calculatedColumnFormula>
    </tableColumn>
    <tableColumn id="2" xr3:uid="{49A9DC5F-0D1A-423A-B722-E4C5DD5CDEF3}" name="Food MoM %" dataDxfId="45">
      <calculatedColumnFormula>'MoM % Change'!Q115</calculatedColumnFormula>
    </tableColumn>
  </tableColumns>
  <tableStyleInfo name="TableStyleDark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63EA281-89F0-4E2D-8B65-C578C876EBD9}" name="Table18" displayName="Table18" ref="A16:B28" totalsRowShown="0" headerRowDxfId="44" dataDxfId="42" headerRowBorderDxfId="43" tableBorderDxfId="41" totalsRowBorderDxfId="40">
  <autoFilter ref="A16:B28" xr:uid="{F63EA281-89F0-4E2D-8B65-C578C876EBD9}"/>
  <tableColumns count="2">
    <tableColumn id="1" xr3:uid="{2E75CFD1-28A1-494E-974F-E22880C97FCA}" name="Sub-category" dataDxfId="39"/>
    <tableColumn id="2" xr3:uid="{DDDD2A4D-907E-4753-9D17-FE5C31063993}" name="Absolute Change (May'22 to May'23)" dataDxfId="38"/>
  </tableColumns>
  <tableStyleInfo name="TableStyleDark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71125EF-F6D4-4C8B-8F77-7E869E108AB8}" name="Table19" displayName="Table19" ref="A1:D5" totalsRowShown="0" headerRowDxfId="37" dataDxfId="35" headerRowBorderDxfId="36" tableBorderDxfId="34" totalsRowBorderDxfId="33">
  <autoFilter ref="A1:D5" xr:uid="{A71125EF-F6D4-4C8B-8F77-7E869E108AB8}"/>
  <tableColumns count="4">
    <tableColumn id="1" xr3:uid="{116F749E-1052-453A-833B-E1F6E0B22927}" name="Category" dataDxfId="32"/>
    <tableColumn id="2" xr3:uid="{8B2AA890-57BE-4B81-A7F2-E621FC0A43A5}" name="Avg MoM % (Before: Mar'19-Feb'20)" dataDxfId="31"/>
    <tableColumn id="3" xr3:uid="{AA190ED0-51E2-409E-B767-FA1131CDDE66}" name="Avg MoM % (After: Mar'20-Feb'21)" dataDxfId="30"/>
    <tableColumn id="4" xr3:uid="{8ACDC61A-0B30-4959-A804-353A31624F62}" name="Change (pp)" dataDxfId="29">
      <calculatedColumnFormula>C2-B2</calculatedColumnFormula>
    </tableColumn>
  </tableColumns>
  <tableStyleInfo name="TableStyleDark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B369723-3E92-4F96-BCA8-A7414C6BD9C8}" name="Table20" displayName="Table20" ref="I1:L13" totalsRowShown="0" headerRowDxfId="28" dataDxfId="26" headerRowBorderDxfId="27" tableBorderDxfId="25" totalsRowBorderDxfId="24">
  <autoFilter ref="I1:L13" xr:uid="{2B369723-3E92-4F96-BCA8-A7414C6BD9C8}"/>
  <tableColumns count="4">
    <tableColumn id="1" xr3:uid="{4AB9AA2D-3AE0-410A-8383-B57A6D9DBAC6}" name="Date" dataDxfId="23">
      <calculatedColumnFormula>'MoM % Change'!A86</calculatedColumnFormula>
    </tableColumn>
    <tableColumn id="2" xr3:uid="{F72A2B09-B1FD-4035-A301-569AE7F04C80}" name="Health MoM%" dataDxfId="22">
      <calculatedColumnFormula>'MoM % Change'!Y86</calculatedColumnFormula>
    </tableColumn>
    <tableColumn id="3" xr3:uid="{A86CF474-F2D2-4FAC-B077-218D87109450}" name="Food MoM%" dataDxfId="21">
      <calculatedColumnFormula>'MoM % Change'!Q86</calculatedColumnFormula>
    </tableColumn>
    <tableColumn id="4" xr3:uid="{3C6C40B2-B9E1-4EB8-A6F9-36463E2F9E4D}" name="General Index MoM%" dataDxfId="20">
      <calculatedColumnFormula>'MoM % Change'!AE86</calculatedColumnFormula>
    </tableColumn>
  </tableColumns>
  <tableStyleInfo name="TableStyleDark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4D2D3B-CD63-4197-9B1E-67BFAADC41AA}" name="Table3" displayName="Table3" ref="A1:C28" totalsRowShown="0" headerRowDxfId="19" dataDxfId="17" headerRowBorderDxfId="18" tableBorderDxfId="16" totalsRowBorderDxfId="15">
  <autoFilter ref="A1:C28" xr:uid="{0D4D2D3B-CD63-4197-9B1E-67BFAADC41AA}"/>
  <tableColumns count="3">
    <tableColumn id="1" xr3:uid="{F76F006B-D925-41FC-8489-176C2BC5BCAC}" name="Category" dataDxfId="14"/>
    <tableColumn id="2" xr3:uid="{01D4603A-2639-4EA9-B5B5-BFDF447EF3E4}" name="Correlation with Oil MoM%" dataDxfId="13"/>
    <tableColumn id="3" xr3:uid="{E3EDCD2F-D626-47FC-AB1C-34BCE2B3EFCF}" name="Correlation" dataDxfId="12">
      <calculatedColumnFormula>ABS(B2)</calculatedColumnFormula>
    </tableColumn>
  </tableColumns>
  <tableStyleInfo name="TableStyleDark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28F8D7-F261-4D25-81FB-E5BFE13A64ED}" name="Cleaned_Data" displayName="Cleaned_Data" ref="A1:AE126" tableType="queryTable" totalsRowShown="0">
  <autoFilter ref="A1:AE126" xr:uid="{B328F8D7-F261-4D25-81FB-E5BFE13A64ED}"/>
  <tableColumns count="31">
    <tableColumn id="1" xr3:uid="{59884487-8874-4652-ACD4-628D25FEB594}" uniqueName="1" name="Date" queryTableFieldId="1" dataDxfId="11"/>
    <tableColumn id="2" xr3:uid="{346A7030-89AB-4FC3-B352-A49DB8881872}" uniqueName="2" name="Sector" queryTableFieldId="2" dataDxfId="10"/>
    <tableColumn id="3" xr3:uid="{31F5146C-D2B7-444D-86E7-1964CA2445EF}" uniqueName="3" name="Year" queryTableFieldId="3"/>
    <tableColumn id="4" xr3:uid="{6198C3D7-A3BF-4A00-A5BA-D0D54C7BA569}" uniqueName="4" name="Month" queryTableFieldId="4" dataDxfId="9"/>
    <tableColumn id="5" xr3:uid="{36CFB113-F4F2-48F8-9139-E54277645BA1}" uniqueName="5" name="Cereals and products" queryTableFieldId="5"/>
    <tableColumn id="6" xr3:uid="{EC7365CA-9B1B-4877-B029-493407EED484}" uniqueName="6" name="Meat and fish" queryTableFieldId="6"/>
    <tableColumn id="7" xr3:uid="{08C26548-D824-45C2-BF10-36C14152A064}" uniqueName="7" name="Egg" queryTableFieldId="7"/>
    <tableColumn id="8" xr3:uid="{307D95BB-3C0C-43D7-81B2-D28F1C6907BF}" uniqueName="8" name="Milk and products" queryTableFieldId="8"/>
    <tableColumn id="9" xr3:uid="{AC0521F4-8666-4943-A801-18E0BC478BCC}" uniqueName="9" name="Oils and fats" queryTableFieldId="9"/>
    <tableColumn id="10" xr3:uid="{45B09449-89B3-410E-8D30-5FD3817911F0}" uniqueName="10" name="Fruits" queryTableFieldId="10"/>
    <tableColumn id="11" xr3:uid="{F339F8AB-9523-4F71-8D49-A2BE1471EFCF}" uniqueName="11" name="Vegetables" queryTableFieldId="11"/>
    <tableColumn id="12" xr3:uid="{9F09BC7C-9731-4B62-A672-74854DBEB3B5}" uniqueName="12" name="Pulses and products" queryTableFieldId="12"/>
    <tableColumn id="13" xr3:uid="{042F1411-FF2A-49EB-9EBA-4BB4C8ACBA9B}" uniqueName="13" name="Sugar and Confectionery" queryTableFieldId="13"/>
    <tableColumn id="14" xr3:uid="{A566B510-BCE9-4B23-9937-67560B94C4CD}" uniqueName="14" name="Spices" queryTableFieldId="14"/>
    <tableColumn id="15" xr3:uid="{97A28BC7-6D96-487B-B200-15248FD09941}" uniqueName="15" name="Non-alcoholic beverages" queryTableFieldId="15"/>
    <tableColumn id="16" xr3:uid="{425B0841-570A-46D4-A4FC-A2B751388EAF}" uniqueName="16" name="Prepared meals, snacks, sweets etc." queryTableFieldId="16"/>
    <tableColumn id="17" xr3:uid="{D078ED4D-E843-42AD-9E8D-C8E3F9AAE367}" uniqueName="17" name="Food and beverages" queryTableFieldId="17"/>
    <tableColumn id="18" xr3:uid="{C91F3DBD-56D1-4482-BAE3-BBA95E4D32A9}" uniqueName="18" name="Pan, tobacco and intoxicants" queryTableFieldId="18"/>
    <tableColumn id="19" xr3:uid="{18B06781-EFA3-45CD-B13C-0613B6ADA3AB}" uniqueName="19" name="Clothing" queryTableFieldId="19"/>
    <tableColumn id="20" xr3:uid="{7DE38438-98BC-432C-87E1-F3A653885A4B}" uniqueName="20" name="Footwear" queryTableFieldId="20"/>
    <tableColumn id="21" xr3:uid="{F73D304C-03FD-43CA-A089-8E176A2A9849}" uniqueName="21" name="Clothing and footwear" queryTableFieldId="21"/>
    <tableColumn id="22" xr3:uid="{6058355D-E136-40B5-AD75-7974F84C25F1}" uniqueName="22" name="Housing" queryTableFieldId="22"/>
    <tableColumn id="23" xr3:uid="{55310A8B-0375-4C9B-8FC7-76732DC5B697}" uniqueName="23" name="Fuel and light" queryTableFieldId="23"/>
    <tableColumn id="24" xr3:uid="{3456241F-275C-4551-8BF5-327FF2896A63}" uniqueName="24" name="Household goods and services" queryTableFieldId="24"/>
    <tableColumn id="25" xr3:uid="{E2B8A7E6-A396-4733-B47C-B6E61239589A}" uniqueName="25" name="Health" queryTableFieldId="25"/>
    <tableColumn id="26" xr3:uid="{DF82E97F-AA64-418A-B8E5-0CB7565E31F9}" uniqueName="26" name="Transport and communication" queryTableFieldId="26"/>
    <tableColumn id="27" xr3:uid="{24A1DA6B-BF27-4771-A9C2-EA97BF557359}" uniqueName="27" name="Recreation and amusement" queryTableFieldId="27"/>
    <tableColumn id="28" xr3:uid="{57B44D93-B873-4794-BDA8-68C151B74920}" uniqueName="28" name="Education" queryTableFieldId="28"/>
    <tableColumn id="29" xr3:uid="{4C40EEAC-D68E-47D6-A2B5-C3957047B1B4}" uniqueName="29" name="Personal care and effects" queryTableFieldId="29"/>
    <tableColumn id="30" xr3:uid="{44407AC4-57D1-44DC-A860-338E852F1B1F}" uniqueName="30" name="Miscellaneous" queryTableFieldId="30"/>
    <tableColumn id="31" xr3:uid="{1DB05D2E-4446-411D-BA4D-D19F1097850A}" uniqueName="31" name="General index" queryTableFieldId="3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017197-5A5F-4F55-91D1-098E28A10AB1}" name="Table1" displayName="Table1" ref="A1:C30" totalsRowShown="0" headerRowDxfId="8" dataDxfId="6" headerRowBorderDxfId="7" tableBorderDxfId="5" totalsRowBorderDxfId="4">
  <autoFilter ref="A1:C30" xr:uid="{BE017197-5A5F-4F55-91D1-098E28A10AB1}"/>
  <tableColumns count="3">
    <tableColumn id="1" xr3:uid="{CEC3B135-D9B2-4447-AF90-EDC21BD54A7B}" name="Date" dataDxfId="3"/>
    <tableColumn id="2" xr3:uid="{03AFAB8C-E1DB-4574-811B-01CCF33DC5F8}" name="Brent Oil Price ($/bbl)" dataDxfId="2"/>
    <tableColumn id="3" xr3:uid="{5992BDCA-94F2-43C9-A7F3-1E15C723D28D}" name="Oil MoM %" dataDxfId="1">
      <calculatedColumnFormula>(B2-B1)/B1</calculatedColumnFormula>
    </tableColumn>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7C88-9461-4F0A-9CAA-824C785C8070}">
  <dimension ref="A1:W40"/>
  <sheetViews>
    <sheetView workbookViewId="0">
      <selection activeCell="C43" sqref="C43"/>
    </sheetView>
  </sheetViews>
  <sheetFormatPr defaultRowHeight="15" x14ac:dyDescent="0.25"/>
  <cols>
    <col min="1" max="1" width="28.140625" bestFit="1" customWidth="1"/>
    <col min="2" max="2" width="26.85546875" bestFit="1" customWidth="1"/>
    <col min="3" max="3" width="22.28515625" customWidth="1"/>
  </cols>
  <sheetData>
    <row r="1" spans="1:3" x14ac:dyDescent="0.25">
      <c r="A1" s="13" t="s">
        <v>73</v>
      </c>
      <c r="B1" s="14" t="s">
        <v>74</v>
      </c>
      <c r="C1" s="12" t="s">
        <v>75</v>
      </c>
    </row>
    <row r="2" spans="1:3" x14ac:dyDescent="0.25">
      <c r="A2" s="10" t="s">
        <v>4</v>
      </c>
      <c r="B2" s="9" t="s">
        <v>77</v>
      </c>
      <c r="C2" s="78">
        <f>'Imputed Data'!E126</f>
        <v>173.7</v>
      </c>
    </row>
    <row r="3" spans="1:3" x14ac:dyDescent="0.25">
      <c r="A3" s="10" t="s">
        <v>5</v>
      </c>
      <c r="B3" s="9" t="s">
        <v>77</v>
      </c>
      <c r="C3" s="78">
        <f>'Imputed Data'!F126</f>
        <v>214.3</v>
      </c>
    </row>
    <row r="4" spans="1:3" x14ac:dyDescent="0.25">
      <c r="A4" s="10" t="s">
        <v>6</v>
      </c>
      <c r="B4" s="9" t="s">
        <v>77</v>
      </c>
      <c r="C4" s="78">
        <f>'Imputed Data'!G126</f>
        <v>173.2</v>
      </c>
    </row>
    <row r="5" spans="1:3" x14ac:dyDescent="0.25">
      <c r="A5" s="10" t="s">
        <v>7</v>
      </c>
      <c r="B5" s="9" t="s">
        <v>77</v>
      </c>
      <c r="C5" s="78">
        <f>'Imputed Data'!H126</f>
        <v>179.5</v>
      </c>
    </row>
    <row r="6" spans="1:3" x14ac:dyDescent="0.25">
      <c r="A6" s="10" t="s">
        <v>8</v>
      </c>
      <c r="B6" s="9" t="s">
        <v>77</v>
      </c>
      <c r="C6" s="78">
        <f>'Imputed Data'!I126</f>
        <v>170</v>
      </c>
    </row>
    <row r="7" spans="1:3" x14ac:dyDescent="0.25">
      <c r="A7" s="10" t="s">
        <v>9</v>
      </c>
      <c r="B7" s="9" t="s">
        <v>77</v>
      </c>
      <c r="C7" s="78">
        <f>'Imputed Data'!J126</f>
        <v>172.2</v>
      </c>
    </row>
    <row r="8" spans="1:3" x14ac:dyDescent="0.25">
      <c r="A8" s="10" t="s">
        <v>10</v>
      </c>
      <c r="B8" s="9" t="s">
        <v>77</v>
      </c>
      <c r="C8" s="78">
        <f>'Imputed Data'!K126</f>
        <v>161</v>
      </c>
    </row>
    <row r="9" spans="1:3" x14ac:dyDescent="0.25">
      <c r="A9" s="10" t="s">
        <v>11</v>
      </c>
      <c r="B9" s="9" t="s">
        <v>77</v>
      </c>
      <c r="C9" s="78">
        <f>'Imputed Data'!L126</f>
        <v>175.6</v>
      </c>
    </row>
    <row r="10" spans="1:3" x14ac:dyDescent="0.25">
      <c r="A10" s="10" t="s">
        <v>12</v>
      </c>
      <c r="B10" s="9" t="s">
        <v>77</v>
      </c>
      <c r="C10" s="78">
        <f>'Imputed Data'!M126</f>
        <v>122.7</v>
      </c>
    </row>
    <row r="11" spans="1:3" x14ac:dyDescent="0.25">
      <c r="A11" s="10" t="s">
        <v>13</v>
      </c>
      <c r="B11" s="9" t="s">
        <v>77</v>
      </c>
      <c r="C11" s="78">
        <f>'Imputed Data'!N126</f>
        <v>218</v>
      </c>
    </row>
    <row r="12" spans="1:3" x14ac:dyDescent="0.25">
      <c r="A12" s="10" t="s">
        <v>76</v>
      </c>
      <c r="B12" s="9" t="s">
        <v>77</v>
      </c>
      <c r="C12" s="78">
        <f>'Imputed Data'!P126</f>
        <v>194.2</v>
      </c>
    </row>
    <row r="13" spans="1:3" x14ac:dyDescent="0.25">
      <c r="A13" s="10" t="s">
        <v>14</v>
      </c>
      <c r="B13" s="9" t="s">
        <v>78</v>
      </c>
      <c r="C13" s="78">
        <f>'Imputed Data'!O126</f>
        <v>173.4</v>
      </c>
    </row>
    <row r="14" spans="1:3" x14ac:dyDescent="0.25">
      <c r="A14" s="10" t="s">
        <v>17</v>
      </c>
      <c r="B14" s="9" t="s">
        <v>78</v>
      </c>
      <c r="C14" s="78">
        <f>'Imputed Data'!R126</f>
        <v>201</v>
      </c>
    </row>
    <row r="15" spans="1:3" x14ac:dyDescent="0.25">
      <c r="A15" s="10" t="s">
        <v>26</v>
      </c>
      <c r="B15" s="9" t="s">
        <v>78</v>
      </c>
      <c r="C15" s="78">
        <f>'Imputed Data'!AA126</f>
        <v>171.2</v>
      </c>
    </row>
    <row r="16" spans="1:3" x14ac:dyDescent="0.25">
      <c r="A16" s="10" t="s">
        <v>28</v>
      </c>
      <c r="B16" s="9" t="s">
        <v>78</v>
      </c>
      <c r="C16" s="78">
        <f>'Imputed Data'!AC126</f>
        <v>185.2</v>
      </c>
    </row>
    <row r="17" spans="1:23" x14ac:dyDescent="0.25">
      <c r="A17" s="10" t="s">
        <v>18</v>
      </c>
      <c r="B17" s="9" t="s">
        <v>79</v>
      </c>
      <c r="C17" s="78">
        <f>'Imputed Data'!S126</f>
        <v>187.3</v>
      </c>
    </row>
    <row r="18" spans="1:23" x14ac:dyDescent="0.25">
      <c r="A18" s="10" t="s">
        <v>19</v>
      </c>
      <c r="B18" s="9" t="s">
        <v>79</v>
      </c>
      <c r="C18" s="78">
        <f>'Imputed Data'!T126</f>
        <v>179.7</v>
      </c>
    </row>
    <row r="19" spans="1:23" x14ac:dyDescent="0.25">
      <c r="A19" s="10" t="s">
        <v>21</v>
      </c>
      <c r="B19" s="9" t="s">
        <v>21</v>
      </c>
      <c r="C19" s="78">
        <f>'Imputed Data'!V126</f>
        <v>175.6</v>
      </c>
    </row>
    <row r="20" spans="1:23" x14ac:dyDescent="0.25">
      <c r="A20" s="10" t="s">
        <v>23</v>
      </c>
      <c r="B20" s="9" t="s">
        <v>21</v>
      </c>
      <c r="C20" s="78">
        <f>'Imputed Data'!X126</f>
        <v>175.2</v>
      </c>
    </row>
    <row r="21" spans="1:23" x14ac:dyDescent="0.25">
      <c r="A21" s="10" t="s">
        <v>22</v>
      </c>
      <c r="B21" s="9" t="s">
        <v>80</v>
      </c>
      <c r="C21" s="78">
        <f>'Imputed Data'!W126</f>
        <v>182.8</v>
      </c>
    </row>
    <row r="22" spans="1:23" x14ac:dyDescent="0.25">
      <c r="A22" s="10" t="s">
        <v>24</v>
      </c>
      <c r="B22" s="9" t="s">
        <v>24</v>
      </c>
      <c r="C22" s="78">
        <f>'Imputed Data'!Y126</f>
        <v>185.7</v>
      </c>
    </row>
    <row r="23" spans="1:23" x14ac:dyDescent="0.25">
      <c r="A23" s="10" t="s">
        <v>25</v>
      </c>
      <c r="B23" s="9" t="s">
        <v>81</v>
      </c>
      <c r="C23" s="78">
        <f>'Imputed Data'!Z126</f>
        <v>164.8</v>
      </c>
    </row>
    <row r="24" spans="1:23" x14ac:dyDescent="0.25">
      <c r="A24" s="76" t="s">
        <v>27</v>
      </c>
      <c r="B24" s="77" t="s">
        <v>27</v>
      </c>
      <c r="C24" s="75">
        <f>'Imputed Data'!AB126</f>
        <v>177.1</v>
      </c>
    </row>
    <row r="25" spans="1:23" x14ac:dyDescent="0.25">
      <c r="A25" s="85" t="s">
        <v>82</v>
      </c>
      <c r="B25" s="85"/>
      <c r="C25" s="79">
        <f>SUBTOTAL(109,Table4[May 2023 Index Value])</f>
        <v>4113.3999999999996</v>
      </c>
    </row>
    <row r="27" spans="1:23" ht="15.75" thickBot="1" x14ac:dyDescent="0.3"/>
    <row r="28" spans="1:23" x14ac:dyDescent="0.25">
      <c r="A28" s="13" t="s">
        <v>74</v>
      </c>
      <c r="B28" s="14" t="s">
        <v>83</v>
      </c>
      <c r="C28" s="12" t="s">
        <v>44</v>
      </c>
      <c r="E28" s="88" t="s">
        <v>89</v>
      </c>
      <c r="F28" s="89"/>
      <c r="G28" s="89"/>
      <c r="H28" s="89"/>
      <c r="I28" s="89"/>
      <c r="J28" s="89"/>
      <c r="K28" s="89"/>
      <c r="L28" s="89"/>
      <c r="M28" s="89"/>
      <c r="N28" s="89"/>
      <c r="O28" s="89"/>
      <c r="P28" s="89"/>
      <c r="Q28" s="89"/>
      <c r="R28" s="89"/>
      <c r="S28" s="89"/>
      <c r="T28" s="89"/>
      <c r="U28" s="89"/>
      <c r="V28" s="89"/>
      <c r="W28" s="90"/>
    </row>
    <row r="29" spans="1:23" x14ac:dyDescent="0.25">
      <c r="A29" s="10" t="s">
        <v>77</v>
      </c>
      <c r="B29" s="9">
        <f>SUMIF($B$2:$B$24,A29,$C$2:$C$24)</f>
        <v>1954.4</v>
      </c>
      <c r="C29" s="11">
        <f>B29/$C$25</f>
        <v>0.475130062721836</v>
      </c>
      <c r="E29" s="91"/>
      <c r="F29" s="92"/>
      <c r="G29" s="92"/>
      <c r="H29" s="92"/>
      <c r="I29" s="92"/>
      <c r="J29" s="92"/>
      <c r="K29" s="92"/>
      <c r="L29" s="92"/>
      <c r="M29" s="92"/>
      <c r="N29" s="92"/>
      <c r="O29" s="92"/>
      <c r="P29" s="92"/>
      <c r="Q29" s="92"/>
      <c r="R29" s="92"/>
      <c r="S29" s="92"/>
      <c r="T29" s="92"/>
      <c r="U29" s="92"/>
      <c r="V29" s="92"/>
      <c r="W29" s="93"/>
    </row>
    <row r="30" spans="1:23" x14ac:dyDescent="0.25">
      <c r="A30" s="10" t="s">
        <v>78</v>
      </c>
      <c r="B30" s="9">
        <f t="shared" ref="B30:B36" si="0">SUMIF($B$2:$B$24,A30,$C$2:$C$24)</f>
        <v>730.8</v>
      </c>
      <c r="C30" s="11">
        <f t="shared" ref="C30:C36" si="1">B30/$C$25</f>
        <v>0.17766324694899596</v>
      </c>
      <c r="E30" s="91"/>
      <c r="F30" s="92"/>
      <c r="G30" s="92"/>
      <c r="H30" s="92"/>
      <c r="I30" s="92"/>
      <c r="J30" s="92"/>
      <c r="K30" s="92"/>
      <c r="L30" s="92"/>
      <c r="M30" s="92"/>
      <c r="N30" s="92"/>
      <c r="O30" s="92"/>
      <c r="P30" s="92"/>
      <c r="Q30" s="92"/>
      <c r="R30" s="92"/>
      <c r="S30" s="92"/>
      <c r="T30" s="92"/>
      <c r="U30" s="92"/>
      <c r="V30" s="92"/>
      <c r="W30" s="93"/>
    </row>
    <row r="31" spans="1:23" x14ac:dyDescent="0.25">
      <c r="A31" s="10" t="s">
        <v>79</v>
      </c>
      <c r="B31" s="9">
        <f t="shared" si="0"/>
        <v>367</v>
      </c>
      <c r="C31" s="11">
        <f t="shared" si="1"/>
        <v>8.9220596100549429E-2</v>
      </c>
      <c r="E31" s="91"/>
      <c r="F31" s="92"/>
      <c r="G31" s="92"/>
      <c r="H31" s="92"/>
      <c r="I31" s="92"/>
      <c r="J31" s="92"/>
      <c r="K31" s="92"/>
      <c r="L31" s="92"/>
      <c r="M31" s="92"/>
      <c r="N31" s="92"/>
      <c r="O31" s="92"/>
      <c r="P31" s="92"/>
      <c r="Q31" s="92"/>
      <c r="R31" s="92"/>
      <c r="S31" s="92"/>
      <c r="T31" s="92"/>
      <c r="U31" s="92"/>
      <c r="V31" s="92"/>
      <c r="W31" s="93"/>
    </row>
    <row r="32" spans="1:23" x14ac:dyDescent="0.25">
      <c r="A32" s="10" t="s">
        <v>21</v>
      </c>
      <c r="B32" s="9">
        <f t="shared" si="0"/>
        <v>350.79999999999995</v>
      </c>
      <c r="C32" s="11">
        <f t="shared" si="1"/>
        <v>8.5282248261778576E-2</v>
      </c>
      <c r="E32" s="91"/>
      <c r="F32" s="92"/>
      <c r="G32" s="92"/>
      <c r="H32" s="92"/>
      <c r="I32" s="92"/>
      <c r="J32" s="92"/>
      <c r="K32" s="92"/>
      <c r="L32" s="92"/>
      <c r="M32" s="92"/>
      <c r="N32" s="92"/>
      <c r="O32" s="92"/>
      <c r="P32" s="92"/>
      <c r="Q32" s="92"/>
      <c r="R32" s="92"/>
      <c r="S32" s="92"/>
      <c r="T32" s="92"/>
      <c r="U32" s="92"/>
      <c r="V32" s="92"/>
      <c r="W32" s="93"/>
    </row>
    <row r="33" spans="1:23" x14ac:dyDescent="0.25">
      <c r="A33" s="10" t="s">
        <v>80</v>
      </c>
      <c r="B33" s="9">
        <f t="shared" si="0"/>
        <v>182.8</v>
      </c>
      <c r="C33" s="11">
        <f t="shared" si="1"/>
        <v>4.4440122526377211E-2</v>
      </c>
      <c r="E33" s="91"/>
      <c r="F33" s="92"/>
      <c r="G33" s="92"/>
      <c r="H33" s="92"/>
      <c r="I33" s="92"/>
      <c r="J33" s="92"/>
      <c r="K33" s="92"/>
      <c r="L33" s="92"/>
      <c r="M33" s="92"/>
      <c r="N33" s="92"/>
      <c r="O33" s="92"/>
      <c r="P33" s="92"/>
      <c r="Q33" s="92"/>
      <c r="R33" s="92"/>
      <c r="S33" s="92"/>
      <c r="T33" s="92"/>
      <c r="U33" s="92"/>
      <c r="V33" s="92"/>
      <c r="W33" s="93"/>
    </row>
    <row r="34" spans="1:23" x14ac:dyDescent="0.25">
      <c r="A34" s="10" t="s">
        <v>24</v>
      </c>
      <c r="B34" s="9">
        <f t="shared" si="0"/>
        <v>185.7</v>
      </c>
      <c r="C34" s="11">
        <f t="shared" si="1"/>
        <v>4.5145135411095445E-2</v>
      </c>
      <c r="E34" s="91"/>
      <c r="F34" s="92"/>
      <c r="G34" s="92"/>
      <c r="H34" s="92"/>
      <c r="I34" s="92"/>
      <c r="J34" s="92"/>
      <c r="K34" s="92"/>
      <c r="L34" s="92"/>
      <c r="M34" s="92"/>
      <c r="N34" s="92"/>
      <c r="O34" s="92"/>
      <c r="P34" s="92"/>
      <c r="Q34" s="92"/>
      <c r="R34" s="92"/>
      <c r="S34" s="92"/>
      <c r="T34" s="92"/>
      <c r="U34" s="92"/>
      <c r="V34" s="92"/>
      <c r="W34" s="93"/>
    </row>
    <row r="35" spans="1:23" x14ac:dyDescent="0.25">
      <c r="A35" s="10" t="s">
        <v>81</v>
      </c>
      <c r="B35" s="9">
        <f t="shared" si="0"/>
        <v>164.8</v>
      </c>
      <c r="C35" s="11">
        <f t="shared" si="1"/>
        <v>4.0064180483298496E-2</v>
      </c>
      <c r="E35" s="91"/>
      <c r="F35" s="92"/>
      <c r="G35" s="92"/>
      <c r="H35" s="92"/>
      <c r="I35" s="92"/>
      <c r="J35" s="92"/>
      <c r="K35" s="92"/>
      <c r="L35" s="92"/>
      <c r="M35" s="92"/>
      <c r="N35" s="92"/>
      <c r="O35" s="92"/>
      <c r="P35" s="92"/>
      <c r="Q35" s="92"/>
      <c r="R35" s="92"/>
      <c r="S35" s="92"/>
      <c r="T35" s="92"/>
      <c r="U35" s="92"/>
      <c r="V35" s="92"/>
      <c r="W35" s="93"/>
    </row>
    <row r="36" spans="1:23" x14ac:dyDescent="0.25">
      <c r="A36" s="10" t="s">
        <v>27</v>
      </c>
      <c r="B36" s="9">
        <f t="shared" si="0"/>
        <v>177.1</v>
      </c>
      <c r="C36" s="11">
        <f t="shared" si="1"/>
        <v>4.305440754606895E-2</v>
      </c>
      <c r="E36" s="91"/>
      <c r="F36" s="92"/>
      <c r="G36" s="92"/>
      <c r="H36" s="92"/>
      <c r="I36" s="92"/>
      <c r="J36" s="92"/>
      <c r="K36" s="92"/>
      <c r="L36" s="92"/>
      <c r="M36" s="92"/>
      <c r="N36" s="92"/>
      <c r="O36" s="92"/>
      <c r="P36" s="92"/>
      <c r="Q36" s="92"/>
      <c r="R36" s="92"/>
      <c r="S36" s="92"/>
      <c r="T36" s="92"/>
      <c r="U36" s="92"/>
      <c r="V36" s="92"/>
      <c r="W36" s="93"/>
    </row>
    <row r="37" spans="1:23" x14ac:dyDescent="0.25">
      <c r="A37" s="80" t="s">
        <v>45</v>
      </c>
      <c r="B37" s="81"/>
      <c r="C37" s="82">
        <f>SUM(C29:C36)</f>
        <v>1</v>
      </c>
      <c r="E37" s="91"/>
      <c r="F37" s="92"/>
      <c r="G37" s="92"/>
      <c r="H37" s="92"/>
      <c r="I37" s="92"/>
      <c r="J37" s="92"/>
      <c r="K37" s="92"/>
      <c r="L37" s="92"/>
      <c r="M37" s="92"/>
      <c r="N37" s="92"/>
      <c r="O37" s="92"/>
      <c r="P37" s="92"/>
      <c r="Q37" s="92"/>
      <c r="R37" s="92"/>
      <c r="S37" s="92"/>
      <c r="T37" s="92"/>
      <c r="U37" s="92"/>
      <c r="V37" s="92"/>
      <c r="W37" s="93"/>
    </row>
    <row r="38" spans="1:23" x14ac:dyDescent="0.25">
      <c r="E38" s="91"/>
      <c r="F38" s="92"/>
      <c r="G38" s="92"/>
      <c r="H38" s="92"/>
      <c r="I38" s="92"/>
      <c r="J38" s="92"/>
      <c r="K38" s="92"/>
      <c r="L38" s="92"/>
      <c r="M38" s="92"/>
      <c r="N38" s="92"/>
      <c r="O38" s="92"/>
      <c r="P38" s="92"/>
      <c r="Q38" s="92"/>
      <c r="R38" s="92"/>
      <c r="S38" s="92"/>
      <c r="T38" s="92"/>
      <c r="U38" s="92"/>
      <c r="V38" s="92"/>
      <c r="W38" s="93"/>
    </row>
    <row r="39" spans="1:23" ht="15.75" thickBot="1" x14ac:dyDescent="0.3">
      <c r="E39" s="94"/>
      <c r="F39" s="95"/>
      <c r="G39" s="95"/>
      <c r="H39" s="95"/>
      <c r="I39" s="95"/>
      <c r="J39" s="95"/>
      <c r="K39" s="95"/>
      <c r="L39" s="95"/>
      <c r="M39" s="95"/>
      <c r="N39" s="95"/>
      <c r="O39" s="95"/>
      <c r="P39" s="95"/>
      <c r="Q39" s="95"/>
      <c r="R39" s="95"/>
      <c r="S39" s="95"/>
      <c r="T39" s="95"/>
      <c r="U39" s="95"/>
      <c r="V39" s="95"/>
      <c r="W39" s="96"/>
    </row>
    <row r="40" spans="1:23" ht="15.75" thickBot="1" x14ac:dyDescent="0.3">
      <c r="A40" s="86" t="s">
        <v>84</v>
      </c>
      <c r="B40" s="87"/>
      <c r="C40" s="83" t="str">
        <f>INDEX(A29:A36,MATCH(MAX(B29:B36),B29:B36,0))</f>
        <v>Food</v>
      </c>
    </row>
  </sheetData>
  <mergeCells count="3">
    <mergeCell ref="A25:B25"/>
    <mergeCell ref="A40:B40"/>
    <mergeCell ref="E28:W39"/>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4BB9-7BAE-4151-96A1-877539CC9C5C}">
  <dimension ref="A1:X78"/>
  <sheetViews>
    <sheetView tabSelected="1" workbookViewId="0">
      <selection activeCell="D36" sqref="D36"/>
    </sheetView>
  </sheetViews>
  <sheetFormatPr defaultRowHeight="15" x14ac:dyDescent="0.25"/>
  <cols>
    <col min="1" max="1" width="10.42578125" bestFit="1" customWidth="1"/>
    <col min="2" max="2" width="28.5703125" customWidth="1"/>
    <col min="4" max="4" width="10.7109375" customWidth="1"/>
    <col min="5" max="5" width="24.85546875" customWidth="1"/>
  </cols>
  <sheetData>
    <row r="1" spans="1:5" x14ac:dyDescent="0.25">
      <c r="A1" s="23" t="s">
        <v>0</v>
      </c>
      <c r="B1" s="16" t="s">
        <v>46</v>
      </c>
      <c r="D1" s="23" t="s">
        <v>2</v>
      </c>
      <c r="E1" s="24" t="s">
        <v>47</v>
      </c>
    </row>
    <row r="2" spans="1:5" x14ac:dyDescent="0.25">
      <c r="A2" s="19">
        <f>'YoY % Change'!A50</f>
        <v>42736</v>
      </c>
      <c r="B2" s="17">
        <f>'YoY % Change'!AE50</f>
        <v>3.1670625494853638E-2</v>
      </c>
      <c r="D2" s="21">
        <v>2017</v>
      </c>
      <c r="E2" s="117">
        <f>AVERAGEIFS($B$2:$B$78,$A$2:$A$78,"&gt;="&amp;DATE(D2,1,1),$A$2:$A$78,"&lt;="&amp;DATE(D2,12,31))</f>
        <v>3.327388537536536E-2</v>
      </c>
    </row>
    <row r="3" spans="1:5" x14ac:dyDescent="0.25">
      <c r="A3" s="19">
        <f>'YoY % Change'!A51</f>
        <v>42767</v>
      </c>
      <c r="B3" s="17">
        <f>'YoY % Change'!AE51</f>
        <v>3.6507936507936462E-2</v>
      </c>
      <c r="D3" s="21">
        <v>2018</v>
      </c>
      <c r="E3" s="117">
        <f t="shared" ref="E3:E8" si="0">AVERAGEIFS($B$2:$B$78,$A$2:$A$78,"&gt;="&amp;DATE(D3,1,1),$A$2:$A$78,"&lt;="&amp;DATE(D3,12,31))</f>
        <v>3.9676971910429099E-2</v>
      </c>
    </row>
    <row r="4" spans="1:5" x14ac:dyDescent="0.25">
      <c r="A4" s="19">
        <f>'YoY % Change'!A52</f>
        <v>42795</v>
      </c>
      <c r="B4" s="17">
        <f>'YoY % Change'!AE52</f>
        <v>3.8888888888888931E-2</v>
      </c>
      <c r="D4" s="21">
        <v>2019</v>
      </c>
      <c r="E4" s="117">
        <f t="shared" si="0"/>
        <v>3.7054829779474781E-2</v>
      </c>
    </row>
    <row r="5" spans="1:5" x14ac:dyDescent="0.25">
      <c r="A5" s="19">
        <f>'YoY % Change'!A53</f>
        <v>42826</v>
      </c>
      <c r="B5" s="17">
        <f>'YoY % Change'!AE53</f>
        <v>2.9850746268656695E-2</v>
      </c>
      <c r="D5" s="21">
        <v>2020</v>
      </c>
      <c r="E5" s="117">
        <f t="shared" si="0"/>
        <v>6.1994513736759412E-2</v>
      </c>
    </row>
    <row r="6" spans="1:5" x14ac:dyDescent="0.25">
      <c r="A6" s="19">
        <f>'YoY % Change'!A54</f>
        <v>42856</v>
      </c>
      <c r="B6" s="17">
        <f>'YoY % Change'!AE54</f>
        <v>2.1772939346811911E-2</v>
      </c>
      <c r="D6" s="21">
        <v>2021</v>
      </c>
      <c r="E6" s="117">
        <f t="shared" si="0"/>
        <v>5.6349618572825173E-2</v>
      </c>
    </row>
    <row r="7" spans="1:5" x14ac:dyDescent="0.25">
      <c r="A7" s="19">
        <f>'YoY % Change'!A55</f>
        <v>42887</v>
      </c>
      <c r="B7" s="17">
        <f>'YoY % Change'!AE55</f>
        <v>1.4604150653343625E-2</v>
      </c>
      <c r="D7" s="21">
        <v>2022</v>
      </c>
      <c r="E7" s="117">
        <f t="shared" si="0"/>
        <v>6.6240649804989227E-2</v>
      </c>
    </row>
    <row r="8" spans="1:5" x14ac:dyDescent="0.25">
      <c r="A8" s="19">
        <f>'YoY % Change'!A56</f>
        <v>42917</v>
      </c>
      <c r="B8" s="17">
        <f>'YoY % Change'!AE56</f>
        <v>2.3646071700991568E-2</v>
      </c>
      <c r="D8" s="22">
        <v>2023</v>
      </c>
      <c r="E8" s="118">
        <f t="shared" si="0"/>
        <v>5.5756721664536081E-2</v>
      </c>
    </row>
    <row r="9" spans="1:5" x14ac:dyDescent="0.25">
      <c r="A9" s="19">
        <f>'YoY % Change'!A57</f>
        <v>42948</v>
      </c>
      <c r="B9" s="17">
        <f>'YoY % Change'!AE57</f>
        <v>3.2799389778794902E-2</v>
      </c>
    </row>
    <row r="10" spans="1:5" x14ac:dyDescent="0.25">
      <c r="A10" s="19">
        <f>'YoY % Change'!A58</f>
        <v>42979</v>
      </c>
      <c r="B10" s="17">
        <f>'YoY % Change'!AE58</f>
        <v>3.2849503437738597E-2</v>
      </c>
    </row>
    <row r="11" spans="1:5" x14ac:dyDescent="0.25">
      <c r="A11" s="19">
        <f>'YoY % Change'!A59</f>
        <v>43009</v>
      </c>
      <c r="B11" s="17">
        <f>'YoY % Change'!AE59</f>
        <v>3.5768645357686368E-2</v>
      </c>
    </row>
    <row r="12" spans="1:5" x14ac:dyDescent="0.25">
      <c r="A12" s="19">
        <f>'YoY % Change'!A60</f>
        <v>43040</v>
      </c>
      <c r="B12" s="17">
        <f>'YoY % Change'!AE60</f>
        <v>4.8780487804878099E-2</v>
      </c>
    </row>
    <row r="13" spans="1:5" x14ac:dyDescent="0.25">
      <c r="A13" s="19">
        <f>'YoY % Change'!A61</f>
        <v>43070</v>
      </c>
      <c r="B13" s="17">
        <f>'YoY % Change'!AE61</f>
        <v>5.2147239263803546E-2</v>
      </c>
    </row>
    <row r="14" spans="1:5" x14ac:dyDescent="0.25">
      <c r="A14" s="19">
        <f>'YoY % Change'!A62</f>
        <v>43101</v>
      </c>
      <c r="B14" s="17">
        <f>'YoY % Change'!AE62</f>
        <v>5.0652340752110468E-2</v>
      </c>
    </row>
    <row r="15" spans="1:5" x14ac:dyDescent="0.25">
      <c r="A15" s="19">
        <f>'YoY % Change'!A63</f>
        <v>43132</v>
      </c>
      <c r="B15" s="17">
        <f>'YoY % Change'!AE63</f>
        <v>4.441041347626349E-2</v>
      </c>
    </row>
    <row r="16" spans="1:5" x14ac:dyDescent="0.25">
      <c r="A16" s="19">
        <f>'YoY % Change'!A64</f>
        <v>43160</v>
      </c>
      <c r="B16" s="17">
        <f>'YoY % Change'!AE64</f>
        <v>4.278074866310156E-2</v>
      </c>
    </row>
    <row r="17" spans="1:2" x14ac:dyDescent="0.25">
      <c r="A17" s="19">
        <f>'YoY % Change'!A65</f>
        <v>43191</v>
      </c>
      <c r="B17" s="17">
        <f>'YoY % Change'!AE65</f>
        <v>4.5766590389016024E-2</v>
      </c>
    </row>
    <row r="18" spans="1:2" x14ac:dyDescent="0.25">
      <c r="A18" s="19">
        <f>'YoY % Change'!A66</f>
        <v>43221</v>
      </c>
      <c r="B18" s="17">
        <f>'YoY % Change'!AE66</f>
        <v>4.8706240487062444E-2</v>
      </c>
    </row>
    <row r="19" spans="1:2" x14ac:dyDescent="0.25">
      <c r="A19" s="19">
        <f>'YoY % Change'!A67</f>
        <v>43252</v>
      </c>
      <c r="B19" s="17">
        <f>'YoY % Change'!AE67</f>
        <v>4.924242424242424E-2</v>
      </c>
    </row>
    <row r="20" spans="1:2" x14ac:dyDescent="0.25">
      <c r="A20" s="19">
        <f>'YoY % Change'!A68</f>
        <v>43282</v>
      </c>
      <c r="B20" s="17">
        <f>'YoY % Change'!AE68</f>
        <v>4.172876304023862E-2</v>
      </c>
    </row>
    <row r="21" spans="1:2" x14ac:dyDescent="0.25">
      <c r="A21" s="19">
        <f>'YoY % Change'!A69</f>
        <v>43313</v>
      </c>
      <c r="B21" s="17">
        <f>'YoY % Change'!AE69</f>
        <v>3.6927621861152143E-2</v>
      </c>
    </row>
    <row r="22" spans="1:2" x14ac:dyDescent="0.25">
      <c r="A22" s="19">
        <f>'YoY % Change'!A70</f>
        <v>43344</v>
      </c>
      <c r="B22" s="17">
        <f>'YoY % Change'!AE70</f>
        <v>3.6982248520710061E-2</v>
      </c>
    </row>
    <row r="23" spans="1:2" x14ac:dyDescent="0.25">
      <c r="A23" s="19">
        <f>'YoY % Change'!A71</f>
        <v>43374</v>
      </c>
      <c r="B23" s="17">
        <f>'YoY % Change'!AE71</f>
        <v>3.4533431300514457E-2</v>
      </c>
    </row>
    <row r="24" spans="1:2" x14ac:dyDescent="0.25">
      <c r="A24" s="19">
        <f>'YoY % Change'!A72</f>
        <v>43405</v>
      </c>
      <c r="B24" s="17">
        <f>'YoY % Change'!AE72</f>
        <v>2.3255813953488497E-2</v>
      </c>
    </row>
    <row r="25" spans="1:2" x14ac:dyDescent="0.25">
      <c r="A25" s="19">
        <f>'YoY % Change'!A73</f>
        <v>43435</v>
      </c>
      <c r="B25" s="17">
        <f>'YoY % Change'!AE73</f>
        <v>2.1137026239067099E-2</v>
      </c>
    </row>
    <row r="26" spans="1:2" x14ac:dyDescent="0.25">
      <c r="A26" s="19">
        <f>'YoY % Change'!A74</f>
        <v>43466</v>
      </c>
      <c r="B26" s="17">
        <f>'YoY % Change'!AE74</f>
        <v>1.9722425127830449E-2</v>
      </c>
    </row>
    <row r="27" spans="1:2" x14ac:dyDescent="0.25">
      <c r="A27" s="19">
        <f>'YoY % Change'!A75</f>
        <v>43497</v>
      </c>
      <c r="B27" s="17">
        <f>'YoY % Change'!AE75</f>
        <v>2.5659824046920819E-2</v>
      </c>
    </row>
    <row r="28" spans="1:2" x14ac:dyDescent="0.25">
      <c r="A28" s="19">
        <f>'YoY % Change'!A76</f>
        <v>43525</v>
      </c>
      <c r="B28" s="17">
        <f>'YoY % Change'!AE76</f>
        <v>2.8571428571428612E-2</v>
      </c>
    </row>
    <row r="29" spans="1:2" x14ac:dyDescent="0.25">
      <c r="A29" s="19">
        <f>'YoY % Change'!A77</f>
        <v>43556</v>
      </c>
      <c r="B29" s="17">
        <f>'YoY % Change'!AE77</f>
        <v>2.9905178701677568E-2</v>
      </c>
    </row>
    <row r="30" spans="1:2" x14ac:dyDescent="0.25">
      <c r="A30" s="19">
        <f>'YoY % Change'!A78</f>
        <v>43586</v>
      </c>
      <c r="B30" s="17">
        <f>'YoY % Change'!AE78</f>
        <v>3.0478955007256808E-2</v>
      </c>
    </row>
    <row r="31" spans="1:2" x14ac:dyDescent="0.25">
      <c r="A31" s="19">
        <f>'YoY % Change'!A79</f>
        <v>43617</v>
      </c>
      <c r="B31" s="17">
        <f>'YoY % Change'!AE79</f>
        <v>3.17689530685921E-2</v>
      </c>
    </row>
    <row r="32" spans="1:2" ht="15.75" thickBot="1" x14ac:dyDescent="0.3">
      <c r="A32" s="19">
        <f>'YoY % Change'!A80</f>
        <v>43647</v>
      </c>
      <c r="B32" s="17">
        <f>'YoY % Change'!AE80</f>
        <v>3.14735336194562E-2</v>
      </c>
    </row>
    <row r="33" spans="1:24" x14ac:dyDescent="0.25">
      <c r="A33" s="19">
        <f>'YoY % Change'!A81</f>
        <v>43678</v>
      </c>
      <c r="B33" s="17">
        <f>'YoY % Change'!AE81</f>
        <v>3.2763532763532721E-2</v>
      </c>
      <c r="G33" s="97" t="s">
        <v>86</v>
      </c>
      <c r="H33" s="98"/>
      <c r="I33" s="98"/>
      <c r="J33" s="98"/>
      <c r="K33" s="98"/>
      <c r="L33" s="98"/>
      <c r="M33" s="98"/>
      <c r="N33" s="98"/>
      <c r="O33" s="98"/>
      <c r="P33" s="98"/>
      <c r="Q33" s="98"/>
      <c r="R33" s="98"/>
      <c r="S33" s="98"/>
      <c r="T33" s="98"/>
      <c r="U33" s="98"/>
      <c r="V33" s="98"/>
      <c r="W33" s="98"/>
      <c r="X33" s="99"/>
    </row>
    <row r="34" spans="1:24" x14ac:dyDescent="0.25">
      <c r="A34" s="19">
        <f>'YoY % Change'!A82</f>
        <v>43709</v>
      </c>
      <c r="B34" s="17">
        <f>'YoY % Change'!AE82</f>
        <v>3.9942938659058652E-2</v>
      </c>
      <c r="G34" s="100"/>
      <c r="H34" s="101"/>
      <c r="I34" s="101"/>
      <c r="J34" s="101"/>
      <c r="K34" s="101"/>
      <c r="L34" s="101"/>
      <c r="M34" s="101"/>
      <c r="N34" s="101"/>
      <c r="O34" s="101"/>
      <c r="P34" s="101"/>
      <c r="Q34" s="101"/>
      <c r="R34" s="101"/>
      <c r="S34" s="101"/>
      <c r="T34" s="101"/>
      <c r="U34" s="101"/>
      <c r="V34" s="101"/>
      <c r="W34" s="101"/>
      <c r="X34" s="102"/>
    </row>
    <row r="35" spans="1:24" ht="15" customHeight="1" x14ac:dyDescent="0.25">
      <c r="A35" s="19">
        <f>'YoY % Change'!A83</f>
        <v>43739</v>
      </c>
      <c r="B35" s="17">
        <f>'YoY % Change'!AE83</f>
        <v>4.5454545454545289E-2</v>
      </c>
      <c r="D35" s="25"/>
      <c r="E35" s="15" t="s">
        <v>48</v>
      </c>
      <c r="F35" s="25"/>
      <c r="G35" s="100"/>
      <c r="H35" s="101"/>
      <c r="I35" s="101"/>
      <c r="J35" s="101"/>
      <c r="K35" s="101"/>
      <c r="L35" s="101"/>
      <c r="M35" s="101"/>
      <c r="N35" s="101"/>
      <c r="O35" s="101"/>
      <c r="P35" s="101"/>
      <c r="Q35" s="101"/>
      <c r="R35" s="101"/>
      <c r="S35" s="101"/>
      <c r="T35" s="101"/>
      <c r="U35" s="101"/>
      <c r="V35" s="101"/>
      <c r="W35" s="101"/>
      <c r="X35" s="102"/>
    </row>
    <row r="36" spans="1:24" x14ac:dyDescent="0.25">
      <c r="A36" s="19">
        <f>'YoY % Change'!A84</f>
        <v>43770</v>
      </c>
      <c r="B36" s="17">
        <f>'YoY % Change'!AE84</f>
        <v>5.5397727272727147E-2</v>
      </c>
      <c r="D36" s="25"/>
      <c r="E36" s="15">
        <f>INDEX(D2:D8,MATCH(MAX(E2:E8),E2:E8,0))</f>
        <v>2022</v>
      </c>
      <c r="F36" s="25"/>
      <c r="G36" s="100"/>
      <c r="H36" s="101"/>
      <c r="I36" s="101"/>
      <c r="J36" s="101"/>
      <c r="K36" s="101"/>
      <c r="L36" s="101"/>
      <c r="M36" s="101"/>
      <c r="N36" s="101"/>
      <c r="O36" s="101"/>
      <c r="P36" s="101"/>
      <c r="Q36" s="101"/>
      <c r="R36" s="101"/>
      <c r="S36" s="101"/>
      <c r="T36" s="101"/>
      <c r="U36" s="101"/>
      <c r="V36" s="101"/>
      <c r="W36" s="101"/>
      <c r="X36" s="102"/>
    </row>
    <row r="37" spans="1:24" x14ac:dyDescent="0.25">
      <c r="A37" s="19">
        <f>'YoY % Change'!A85</f>
        <v>43800</v>
      </c>
      <c r="B37" s="17">
        <f>'YoY % Change'!AE85</f>
        <v>7.3518915060671028E-2</v>
      </c>
      <c r="D37" s="25"/>
      <c r="E37" s="25"/>
      <c r="F37" s="25"/>
      <c r="G37" s="100"/>
      <c r="H37" s="101"/>
      <c r="I37" s="101"/>
      <c r="J37" s="101"/>
      <c r="K37" s="101"/>
      <c r="L37" s="101"/>
      <c r="M37" s="101"/>
      <c r="N37" s="101"/>
      <c r="O37" s="101"/>
      <c r="P37" s="101"/>
      <c r="Q37" s="101"/>
      <c r="R37" s="101"/>
      <c r="S37" s="101"/>
      <c r="T37" s="101"/>
      <c r="U37" s="101"/>
      <c r="V37" s="101"/>
      <c r="W37" s="101"/>
      <c r="X37" s="102"/>
    </row>
    <row r="38" spans="1:24" x14ac:dyDescent="0.25">
      <c r="A38" s="19">
        <f>'YoY % Change'!A86</f>
        <v>43831</v>
      </c>
      <c r="B38" s="17">
        <f>'YoY % Change'!AE86</f>
        <v>7.5931232091690504E-2</v>
      </c>
      <c r="D38" s="25"/>
      <c r="E38" s="25"/>
      <c r="F38" s="25"/>
      <c r="G38" s="100"/>
      <c r="H38" s="101"/>
      <c r="I38" s="101"/>
      <c r="J38" s="101"/>
      <c r="K38" s="101"/>
      <c r="L38" s="101"/>
      <c r="M38" s="101"/>
      <c r="N38" s="101"/>
      <c r="O38" s="101"/>
      <c r="P38" s="101"/>
      <c r="Q38" s="101"/>
      <c r="R38" s="101"/>
      <c r="S38" s="101"/>
      <c r="T38" s="101"/>
      <c r="U38" s="101"/>
      <c r="V38" s="101"/>
      <c r="W38" s="101"/>
      <c r="X38" s="102"/>
    </row>
    <row r="39" spans="1:24" ht="15.75" thickBot="1" x14ac:dyDescent="0.3">
      <c r="A39" s="19">
        <f>'YoY % Change'!A87</f>
        <v>43862</v>
      </c>
      <c r="B39" s="17">
        <f>'YoY % Change'!AE87</f>
        <v>6.5761258041458104E-2</v>
      </c>
      <c r="D39" s="25"/>
      <c r="E39" s="25"/>
      <c r="F39" s="25"/>
      <c r="G39" s="103"/>
      <c r="H39" s="104"/>
      <c r="I39" s="104"/>
      <c r="J39" s="104"/>
      <c r="K39" s="104"/>
      <c r="L39" s="104"/>
      <c r="M39" s="104"/>
      <c r="N39" s="104"/>
      <c r="O39" s="104"/>
      <c r="P39" s="104"/>
      <c r="Q39" s="104"/>
      <c r="R39" s="104"/>
      <c r="S39" s="104"/>
      <c r="T39" s="104"/>
      <c r="U39" s="104"/>
      <c r="V39" s="104"/>
      <c r="W39" s="104"/>
      <c r="X39" s="105"/>
    </row>
    <row r="40" spans="1:24" x14ac:dyDescent="0.25">
      <c r="A40" s="19">
        <f>'YoY % Change'!A88</f>
        <v>43891</v>
      </c>
      <c r="B40" s="17">
        <f>'YoY % Change'!AE88</f>
        <v>5.840455840455832E-2</v>
      </c>
    </row>
    <row r="41" spans="1:24" x14ac:dyDescent="0.25">
      <c r="A41" s="19">
        <f>'YoY % Change'!A89</f>
        <v>43922</v>
      </c>
      <c r="B41" s="17">
        <f>'YoY % Change'!AE89</f>
        <v>5.9962228517469331E-2</v>
      </c>
    </row>
    <row r="42" spans="1:24" x14ac:dyDescent="0.25">
      <c r="A42" s="19">
        <f>'YoY % Change'!A90</f>
        <v>43952</v>
      </c>
      <c r="B42" s="17">
        <f>'YoY % Change'!AE90</f>
        <v>6.1502347417840483E-2</v>
      </c>
    </row>
    <row r="43" spans="1:24" x14ac:dyDescent="0.25">
      <c r="A43" s="19">
        <f>'YoY % Change'!A91</f>
        <v>43983</v>
      </c>
      <c r="B43" s="17">
        <f>'YoY % Change'!AE91</f>
        <v>6.2281315605318445E-2</v>
      </c>
    </row>
    <row r="44" spans="1:24" x14ac:dyDescent="0.25">
      <c r="A44" s="19">
        <f>'YoY % Change'!A92</f>
        <v>44013</v>
      </c>
      <c r="B44" s="17">
        <f>'YoY % Change'!AE92</f>
        <v>5.2704576976421801E-2</v>
      </c>
    </row>
    <row r="45" spans="1:24" x14ac:dyDescent="0.25">
      <c r="A45" s="19">
        <f>'YoY % Change'!A93</f>
        <v>44044</v>
      </c>
      <c r="B45" s="17">
        <f>'YoY % Change'!AE93</f>
        <v>6.1379310344827624E-2</v>
      </c>
    </row>
    <row r="46" spans="1:24" x14ac:dyDescent="0.25">
      <c r="A46" s="19">
        <f>'YoY % Change'!A94</f>
        <v>44075</v>
      </c>
      <c r="B46" s="17">
        <f>'YoY % Change'!AE94</f>
        <v>6.1042524005486806E-2</v>
      </c>
    </row>
    <row r="47" spans="1:24" x14ac:dyDescent="0.25">
      <c r="A47" s="19">
        <f>'YoY % Change'!A95</f>
        <v>44105</v>
      </c>
      <c r="B47" s="17">
        <f>'YoY % Change'!AE95</f>
        <v>6.2500000000000125E-2</v>
      </c>
    </row>
    <row r="48" spans="1:24" x14ac:dyDescent="0.25">
      <c r="A48" s="19">
        <f>'YoY % Change'!A96</f>
        <v>44136</v>
      </c>
      <c r="B48" s="17">
        <f>'YoY % Change'!AE96</f>
        <v>6.5948855989232918E-2</v>
      </c>
    </row>
    <row r="49" spans="1:2" x14ac:dyDescent="0.25">
      <c r="A49" s="19">
        <f>'YoY % Change'!A97</f>
        <v>44166</v>
      </c>
      <c r="B49" s="17">
        <f>'YoY % Change'!AE97</f>
        <v>5.6515957446808505E-2</v>
      </c>
    </row>
    <row r="50" spans="1:2" x14ac:dyDescent="0.25">
      <c r="A50" s="19">
        <f>'YoY % Change'!A98</f>
        <v>44197</v>
      </c>
      <c r="B50" s="17">
        <f>'YoY % Change'!AE98</f>
        <v>4.7270306258322389E-2</v>
      </c>
    </row>
    <row r="51" spans="1:2" x14ac:dyDescent="0.25">
      <c r="A51" s="19">
        <f>'YoY % Change'!A99</f>
        <v>44228</v>
      </c>
      <c r="B51" s="17">
        <f>'YoY % Change'!AE99</f>
        <v>5.030181086519115E-2</v>
      </c>
    </row>
    <row r="52" spans="1:2" x14ac:dyDescent="0.25">
      <c r="A52" s="19">
        <f>'YoY % Change'!A100</f>
        <v>44256</v>
      </c>
      <c r="B52" s="17">
        <f>'YoY % Change'!AE100</f>
        <v>5.5181695827725558E-2</v>
      </c>
    </row>
    <row r="53" spans="1:2" x14ac:dyDescent="0.25">
      <c r="A53" s="19">
        <f>'YoY % Change'!A101</f>
        <v>44287</v>
      </c>
      <c r="B53" s="17">
        <f>'YoY % Change'!AE101</f>
        <v>5.4342984409799698E-2</v>
      </c>
    </row>
    <row r="54" spans="1:2" x14ac:dyDescent="0.25">
      <c r="A54" s="19">
        <f>'YoY % Change'!A102</f>
        <v>44317</v>
      </c>
      <c r="B54" s="17">
        <f>'YoY % Change'!AE102</f>
        <v>6.4130915524104312E-2</v>
      </c>
    </row>
    <row r="55" spans="1:2" x14ac:dyDescent="0.25">
      <c r="A55" s="19">
        <f>'YoY % Change'!A103</f>
        <v>44348</v>
      </c>
      <c r="B55" s="17">
        <f>'YoY % Change'!AE103</f>
        <v>6.2582345191040833E-2</v>
      </c>
    </row>
    <row r="56" spans="1:2" x14ac:dyDescent="0.25">
      <c r="A56" s="19">
        <f>'YoY % Change'!A104</f>
        <v>44378</v>
      </c>
      <c r="B56" s="17">
        <f>'YoY % Change'!AE104</f>
        <v>7.0487483530961709E-2</v>
      </c>
    </row>
    <row r="57" spans="1:2" x14ac:dyDescent="0.25">
      <c r="A57" s="19">
        <f>'YoY % Change'!A105</f>
        <v>44409</v>
      </c>
      <c r="B57" s="17">
        <f>'YoY % Change'!AE105</f>
        <v>6.0428849902533999E-2</v>
      </c>
    </row>
    <row r="58" spans="1:2" x14ac:dyDescent="0.25">
      <c r="A58" s="19">
        <f>'YoY % Change'!A106</f>
        <v>44440</v>
      </c>
      <c r="B58" s="17">
        <f>'YoY % Change'!AE106</f>
        <v>5.4945054945054951E-2</v>
      </c>
    </row>
    <row r="59" spans="1:2" x14ac:dyDescent="0.25">
      <c r="A59" s="19">
        <f>'YoY % Change'!A107</f>
        <v>44470</v>
      </c>
      <c r="B59" s="17">
        <f>'YoY % Change'!AE107</f>
        <v>5.8184143222506354E-2</v>
      </c>
    </row>
    <row r="60" spans="1:2" x14ac:dyDescent="0.25">
      <c r="A60" s="19">
        <f>'YoY % Change'!A108</f>
        <v>44501</v>
      </c>
      <c r="B60" s="17">
        <f>'YoY % Change'!AE108</f>
        <v>5.2398989898989792E-2</v>
      </c>
    </row>
    <row r="61" spans="1:2" x14ac:dyDescent="0.25">
      <c r="A61" s="19">
        <f>'YoY % Change'!A109</f>
        <v>44531</v>
      </c>
      <c r="B61" s="17">
        <f>'YoY % Change'!AE109</f>
        <v>4.5940843297671383E-2</v>
      </c>
    </row>
    <row r="62" spans="1:2" x14ac:dyDescent="0.25">
      <c r="A62" s="19">
        <f>'YoY % Change'!A110</f>
        <v>44562</v>
      </c>
      <c r="B62" s="17">
        <f>'YoY % Change'!AE110</f>
        <v>5.3401144310235071E-2</v>
      </c>
    </row>
    <row r="63" spans="1:2" x14ac:dyDescent="0.25">
      <c r="A63" s="19">
        <f>'YoY % Change'!A111</f>
        <v>44593</v>
      </c>
      <c r="B63" s="17">
        <f>'YoY % Change'!AE111</f>
        <v>6.066411238825032E-2</v>
      </c>
    </row>
    <row r="64" spans="1:2" x14ac:dyDescent="0.25">
      <c r="A64" s="19">
        <f>'YoY % Change'!A112</f>
        <v>44621</v>
      </c>
      <c r="B64" s="17">
        <f>'YoY % Change'!AE112</f>
        <v>6.9515306122448828E-2</v>
      </c>
    </row>
    <row r="65" spans="1:2" x14ac:dyDescent="0.25">
      <c r="A65" s="19">
        <f>'YoY % Change'!A113</f>
        <v>44652</v>
      </c>
      <c r="B65" s="17">
        <f>'YoY % Change'!AE113</f>
        <v>7.7946768060836391E-2</v>
      </c>
    </row>
    <row r="66" spans="1:2" x14ac:dyDescent="0.25">
      <c r="A66" s="19">
        <f>'YoY % Change'!A114</f>
        <v>44682</v>
      </c>
      <c r="B66" s="17">
        <f>'YoY % Change'!AE114</f>
        <v>7.0448877805486171E-2</v>
      </c>
    </row>
    <row r="67" spans="1:2" x14ac:dyDescent="0.25">
      <c r="A67" s="19">
        <f>'YoY % Change'!A115</f>
        <v>44713</v>
      </c>
      <c r="B67" s="17">
        <f>'YoY % Change'!AE115</f>
        <v>7.0055796652200755E-2</v>
      </c>
    </row>
    <row r="68" spans="1:2" x14ac:dyDescent="0.25">
      <c r="A68" s="19">
        <f>'YoY % Change'!A116</f>
        <v>44743</v>
      </c>
      <c r="B68" s="17">
        <f>'YoY % Change'!AE116</f>
        <v>6.7076923076923117E-2</v>
      </c>
    </row>
    <row r="69" spans="1:2" x14ac:dyDescent="0.25">
      <c r="A69" s="19">
        <f>'YoY % Change'!A117</f>
        <v>44774</v>
      </c>
      <c r="B69" s="17">
        <f>'YoY % Change'!AE117</f>
        <v>6.8014705882353088E-2</v>
      </c>
    </row>
    <row r="70" spans="1:2" x14ac:dyDescent="0.25">
      <c r="A70" s="19">
        <f>'YoY % Change'!A118</f>
        <v>44805</v>
      </c>
      <c r="B70" s="17">
        <f>'YoY % Change'!AE118</f>
        <v>7.4142156862745237E-2</v>
      </c>
    </row>
    <row r="71" spans="1:2" x14ac:dyDescent="0.25">
      <c r="A71" s="19">
        <f>'YoY % Change'!A119</f>
        <v>44835</v>
      </c>
      <c r="B71" s="17">
        <f>'YoY % Change'!AE119</f>
        <v>6.7673716012084523E-2</v>
      </c>
    </row>
    <row r="72" spans="1:2" x14ac:dyDescent="0.25">
      <c r="A72" s="19">
        <f>'YoY % Change'!A120</f>
        <v>44866</v>
      </c>
      <c r="B72" s="17">
        <f>'YoY % Change'!AE120</f>
        <v>5.8788242351529768E-2</v>
      </c>
    </row>
    <row r="73" spans="1:2" x14ac:dyDescent="0.25">
      <c r="A73" s="19">
        <f>'YoY % Change'!A121</f>
        <v>44896</v>
      </c>
      <c r="B73" s="17">
        <f>'YoY % Change'!AE121</f>
        <v>5.7160048134777382E-2</v>
      </c>
    </row>
    <row r="74" spans="1:2" x14ac:dyDescent="0.25">
      <c r="A74" s="19">
        <f>'YoY % Change'!A122</f>
        <v>44927</v>
      </c>
      <c r="B74" s="17">
        <f>'YoY % Change'!AE122</f>
        <v>6.5178032589016374E-2</v>
      </c>
    </row>
    <row r="75" spans="1:2" x14ac:dyDescent="0.25">
      <c r="A75" s="19">
        <f>'YoY % Change'!A123</f>
        <v>44958</v>
      </c>
      <c r="B75" s="17">
        <f>'YoY % Change'!AE123</f>
        <v>6.6827212522576729E-2</v>
      </c>
    </row>
    <row r="76" spans="1:2" x14ac:dyDescent="0.25">
      <c r="A76" s="19">
        <f>'YoY % Change'!A124</f>
        <v>44986</v>
      </c>
      <c r="B76" s="17">
        <f>'YoY % Change'!AE124</f>
        <v>5.6648777579010143E-2</v>
      </c>
    </row>
    <row r="77" spans="1:2" x14ac:dyDescent="0.25">
      <c r="A77" s="19">
        <f>'YoY % Change'!A125</f>
        <v>45017</v>
      </c>
      <c r="B77" s="17">
        <f>'YoY % Change'!AE125</f>
        <v>4.7031158142269255E-2</v>
      </c>
    </row>
    <row r="78" spans="1:2" x14ac:dyDescent="0.25">
      <c r="A78" s="20">
        <f>'YoY % Change'!A126</f>
        <v>45047</v>
      </c>
      <c r="B78" s="18">
        <f>'YoY % Change'!AE126</f>
        <v>4.3098427489807842E-2</v>
      </c>
    </row>
  </sheetData>
  <mergeCells count="1">
    <mergeCell ref="G33:X39"/>
  </mergeCells>
  <pageMargins left="0.7" right="0.7" top="0.75" bottom="0.75" header="0.3" footer="0.3"/>
  <pageSetup orientation="portrait" r:id="rId1"/>
  <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5ECB-F380-43FD-9B6F-D5B106440815}">
  <dimension ref="A1:H39"/>
  <sheetViews>
    <sheetView workbookViewId="0">
      <selection activeCell="AD40" sqref="AD40"/>
    </sheetView>
  </sheetViews>
  <sheetFormatPr defaultRowHeight="15" x14ac:dyDescent="0.25"/>
  <cols>
    <col min="1" max="1" width="24.42578125" customWidth="1"/>
    <col min="2" max="2" width="37.140625" customWidth="1"/>
    <col min="3" max="3" width="29" customWidth="1"/>
    <col min="4" max="4" width="44.5703125" bestFit="1" customWidth="1"/>
    <col min="5" max="5" width="13" customWidth="1"/>
    <col min="6" max="6" width="14.140625" customWidth="1"/>
    <col min="7" max="7" width="13.42578125" bestFit="1" customWidth="1"/>
    <col min="8" max="8" width="31.7109375" bestFit="1" customWidth="1"/>
  </cols>
  <sheetData>
    <row r="1" spans="1:8" x14ac:dyDescent="0.25">
      <c r="A1" s="26" t="s">
        <v>0</v>
      </c>
      <c r="B1" s="27" t="s">
        <v>49</v>
      </c>
      <c r="C1" s="35"/>
      <c r="E1" s="38"/>
      <c r="G1" s="35"/>
      <c r="H1" s="35"/>
    </row>
    <row r="2" spans="1:8" x14ac:dyDescent="0.25">
      <c r="A2" s="33">
        <f>'MoM % Change'!A115</f>
        <v>44713</v>
      </c>
      <c r="B2" s="29">
        <f>'MoM % Change'!Q115</f>
        <v>9.2325447201384546E-3</v>
      </c>
      <c r="C2" s="40"/>
      <c r="E2" s="38"/>
      <c r="G2" s="36"/>
      <c r="H2" s="36"/>
    </row>
    <row r="3" spans="1:8" x14ac:dyDescent="0.25">
      <c r="A3" s="33">
        <f>'MoM % Change'!A116</f>
        <v>44743</v>
      </c>
      <c r="B3" s="29">
        <f>'MoM % Change'!Q116</f>
        <v>5.7175528873638828E-4</v>
      </c>
      <c r="C3" s="40"/>
      <c r="E3" s="38"/>
      <c r="G3" s="37"/>
      <c r="H3" s="37"/>
    </row>
    <row r="4" spans="1:8" x14ac:dyDescent="0.25">
      <c r="A4" s="33">
        <f>'MoM % Change'!A117</f>
        <v>44774</v>
      </c>
      <c r="B4" s="29">
        <f>'MoM % Change'!Q117</f>
        <v>7.4285714285714935E-3</v>
      </c>
      <c r="C4" s="40"/>
    </row>
    <row r="5" spans="1:8" x14ac:dyDescent="0.25">
      <c r="A5" s="33">
        <f>'MoM % Change'!A118</f>
        <v>44805</v>
      </c>
      <c r="B5" s="29">
        <f>'MoM % Change'!Q118</f>
        <v>8.5082246171298923E-3</v>
      </c>
      <c r="C5" s="40"/>
    </row>
    <row r="6" spans="1:8" x14ac:dyDescent="0.25">
      <c r="A6" s="33">
        <f>'MoM % Change'!A119</f>
        <v>44835</v>
      </c>
      <c r="B6" s="29">
        <f>'MoM % Change'!Q119</f>
        <v>1.0123734533183255E-2</v>
      </c>
      <c r="C6" s="40"/>
    </row>
    <row r="7" spans="1:8" x14ac:dyDescent="0.25">
      <c r="A7" s="33">
        <f>'MoM % Change'!A120</f>
        <v>44866</v>
      </c>
      <c r="B7" s="29">
        <f>'MoM % Change'!Q120</f>
        <v>-7.2383073496658295E-3</v>
      </c>
      <c r="C7" s="40"/>
    </row>
    <row r="8" spans="1:8" x14ac:dyDescent="0.25">
      <c r="A8" s="33">
        <f>'MoM % Change'!A121</f>
        <v>44896</v>
      </c>
      <c r="B8" s="29">
        <f>'MoM % Change'!Q121</f>
        <v>-1.3460459899046581E-2</v>
      </c>
      <c r="C8" s="40"/>
    </row>
    <row r="9" spans="1:8" x14ac:dyDescent="0.25">
      <c r="A9" s="33">
        <f>'MoM % Change'!A122</f>
        <v>44927</v>
      </c>
      <c r="B9" s="29">
        <f>'MoM % Change'!Q122</f>
        <v>4.5480386583284984E-3</v>
      </c>
      <c r="C9" s="40"/>
    </row>
    <row r="10" spans="1:8" x14ac:dyDescent="0.25">
      <c r="A10" s="33">
        <f>'MoM % Change'!A123</f>
        <v>44958</v>
      </c>
      <c r="B10" s="29">
        <f>'MoM % Change'!Q123</f>
        <v>1.6977928692700134E-3</v>
      </c>
      <c r="C10" s="40"/>
    </row>
    <row r="11" spans="1:8" x14ac:dyDescent="0.25">
      <c r="A11" s="33">
        <f>'MoM % Change'!A124</f>
        <v>44986</v>
      </c>
      <c r="B11" s="29">
        <f>'MoM % Change'!Q124</f>
        <v>0</v>
      </c>
      <c r="C11" s="40"/>
    </row>
    <row r="12" spans="1:8" x14ac:dyDescent="0.25">
      <c r="A12" s="33">
        <f>'MoM % Change'!A125</f>
        <v>45017</v>
      </c>
      <c r="B12" s="29">
        <f>'MoM % Change'!Q125</f>
        <v>5.0847457627118961E-3</v>
      </c>
      <c r="C12" s="40"/>
    </row>
    <row r="13" spans="1:8" x14ac:dyDescent="0.25">
      <c r="A13" s="34">
        <f>'MoM % Change'!A126</f>
        <v>45047</v>
      </c>
      <c r="B13" s="31">
        <f>'MoM % Change'!Q126</f>
        <v>6.7453625632377095E-3</v>
      </c>
      <c r="C13" s="40"/>
    </row>
    <row r="16" spans="1:8" x14ac:dyDescent="0.25">
      <c r="A16" s="26" t="s">
        <v>53</v>
      </c>
      <c r="B16" s="27" t="s">
        <v>85</v>
      </c>
    </row>
    <row r="17" spans="1:8" x14ac:dyDescent="0.25">
      <c r="A17" s="43" t="s">
        <v>4</v>
      </c>
      <c r="B17" s="44">
        <f>'Imputed Data'!E126-'Imputed Data'!E114</f>
        <v>19.599999999999994</v>
      </c>
    </row>
    <row r="18" spans="1:8" x14ac:dyDescent="0.25">
      <c r="A18" s="43" t="s">
        <v>5</v>
      </c>
      <c r="B18" s="44">
        <f>'Imputed Data'!F126-'Imputed Data'!F114</f>
        <v>-2.6999999999999886</v>
      </c>
    </row>
    <row r="19" spans="1:8" x14ac:dyDescent="0.25">
      <c r="A19" s="43" t="s">
        <v>6</v>
      </c>
      <c r="B19" s="44">
        <f>'Imputed Data'!G126-'Imputed Data'!G114</f>
        <v>10.799999999999983</v>
      </c>
    </row>
    <row r="20" spans="1:8" x14ac:dyDescent="0.25">
      <c r="A20" s="43" t="s">
        <v>7</v>
      </c>
      <c r="B20" s="44">
        <f>'Imputed Data'!H126-'Imputed Data'!H114</f>
        <v>14.599999999999994</v>
      </c>
    </row>
    <row r="21" spans="1:8" x14ac:dyDescent="0.25">
      <c r="A21" s="43" t="s">
        <v>8</v>
      </c>
      <c r="B21" s="44">
        <f>'Imputed Data'!I126-'Imputed Data'!I114</f>
        <v>-32.400000000000006</v>
      </c>
    </row>
    <row r="22" spans="1:8" x14ac:dyDescent="0.25">
      <c r="A22" s="43" t="s">
        <v>9</v>
      </c>
      <c r="B22" s="44">
        <f>'Imputed Data'!J126-'Imputed Data'!J114</f>
        <v>1.1999999999999886</v>
      </c>
      <c r="D22" s="38"/>
      <c r="E22" s="8"/>
    </row>
    <row r="23" spans="1:8" x14ac:dyDescent="0.25">
      <c r="A23" s="43" t="s">
        <v>10</v>
      </c>
      <c r="B23" s="44">
        <f>'Imputed Data'!K126-'Imputed Data'!K114</f>
        <v>-13.900000000000006</v>
      </c>
      <c r="F23" s="39" t="s">
        <v>52</v>
      </c>
    </row>
    <row r="24" spans="1:8" x14ac:dyDescent="0.25">
      <c r="A24" s="43" t="s">
        <v>11</v>
      </c>
      <c r="B24" s="44">
        <f>'Imputed Data'!L126-'Imputed Data'!L114</f>
        <v>10.900000000000006</v>
      </c>
      <c r="D24" s="52" t="s">
        <v>50</v>
      </c>
      <c r="E24" s="41">
        <f>INDEX(A2:A13,MATCH(MAX(B2:B13),B2:B13,0))</f>
        <v>44835</v>
      </c>
      <c r="F24" s="42">
        <f>MAX(B2:B13)</f>
        <v>1.0123734533183255E-2</v>
      </c>
    </row>
    <row r="25" spans="1:8" x14ac:dyDescent="0.25">
      <c r="A25" s="43" t="s">
        <v>12</v>
      </c>
      <c r="B25" s="44">
        <f>'Imputed Data'!M126-'Imputed Data'!M114</f>
        <v>3</v>
      </c>
      <c r="D25" s="52" t="s">
        <v>51</v>
      </c>
      <c r="E25" s="49">
        <f>INDEX(A2:A13,MATCH(MIN(B2:B13),B2:B13,0))</f>
        <v>44896</v>
      </c>
      <c r="F25" s="47">
        <f>MIN(B2:B13)</f>
        <v>-1.3460459899046581E-2</v>
      </c>
    </row>
    <row r="26" spans="1:8" x14ac:dyDescent="0.25">
      <c r="A26" s="43" t="s">
        <v>13</v>
      </c>
      <c r="B26" s="44">
        <f>'Imputed Data'!N126-'Imputed Data'!N114</f>
        <v>33.099999999999994</v>
      </c>
      <c r="D26" s="52" t="s">
        <v>91</v>
      </c>
      <c r="E26" s="50" t="s">
        <v>90</v>
      </c>
      <c r="F26" s="50">
        <f>'Imputed Data'!Q126-'Imputed Data'!Q114</f>
        <v>5.7999999999999829</v>
      </c>
    </row>
    <row r="27" spans="1:8" x14ac:dyDescent="0.25">
      <c r="A27" s="43" t="s">
        <v>14</v>
      </c>
      <c r="B27" s="44">
        <f>'Imputed Data'!O126-'Imputed Data'!O114</f>
        <v>6.3000000000000114</v>
      </c>
      <c r="D27" s="53" t="s">
        <v>55</v>
      </c>
      <c r="E27" s="51" t="str">
        <f>INDEX(A17:A28,MATCH(MAX(B17:B28),B17:B28,0))</f>
        <v>Spices</v>
      </c>
      <c r="F27" s="54">
        <f>MAX(Table18[Absolute Change (May''22 to May''23)])</f>
        <v>33.099999999999994</v>
      </c>
    </row>
    <row r="28" spans="1:8" x14ac:dyDescent="0.25">
      <c r="A28" s="45" t="s">
        <v>54</v>
      </c>
      <c r="B28" s="46">
        <f>'Imputed Data'!P126-'Imputed Data'!P114</f>
        <v>11.699999999999989</v>
      </c>
      <c r="D28" s="55" t="s">
        <v>56</v>
      </c>
      <c r="E28" s="48" t="str">
        <f>INDEX(A17:A28,MATCH(MIN(B17:B28),B17:B28,0))</f>
        <v>Oils and fats</v>
      </c>
      <c r="F28" s="54">
        <f>MIN(Table18[Absolute Change (May''22 to May''23)])</f>
        <v>-32.400000000000006</v>
      </c>
    </row>
    <row r="30" spans="1:8" ht="15.75" thickBot="1" x14ac:dyDescent="0.3"/>
    <row r="31" spans="1:8" x14ac:dyDescent="0.25">
      <c r="A31" s="97" t="s">
        <v>87</v>
      </c>
      <c r="B31" s="98"/>
      <c r="C31" s="98"/>
      <c r="D31" s="98"/>
      <c r="E31" s="98"/>
      <c r="F31" s="98"/>
      <c r="G31" s="98"/>
      <c r="H31" s="99"/>
    </row>
    <row r="32" spans="1:8" x14ac:dyDescent="0.25">
      <c r="A32" s="100"/>
      <c r="B32" s="101"/>
      <c r="C32" s="101"/>
      <c r="D32" s="101"/>
      <c r="E32" s="101"/>
      <c r="F32" s="101"/>
      <c r="G32" s="101"/>
      <c r="H32" s="102"/>
    </row>
    <row r="33" spans="1:8" x14ac:dyDescent="0.25">
      <c r="A33" s="100"/>
      <c r="B33" s="101"/>
      <c r="C33" s="101"/>
      <c r="D33" s="101"/>
      <c r="E33" s="101"/>
      <c r="F33" s="101"/>
      <c r="G33" s="101"/>
      <c r="H33" s="102"/>
    </row>
    <row r="34" spans="1:8" x14ac:dyDescent="0.25">
      <c r="A34" s="100"/>
      <c r="B34" s="101"/>
      <c r="C34" s="101"/>
      <c r="D34" s="101"/>
      <c r="E34" s="101"/>
      <c r="F34" s="101"/>
      <c r="G34" s="101"/>
      <c r="H34" s="102"/>
    </row>
    <row r="35" spans="1:8" x14ac:dyDescent="0.25">
      <c r="A35" s="100"/>
      <c r="B35" s="101"/>
      <c r="C35" s="101"/>
      <c r="D35" s="101"/>
      <c r="E35" s="101"/>
      <c r="F35" s="101"/>
      <c r="G35" s="101"/>
      <c r="H35" s="102"/>
    </row>
    <row r="36" spans="1:8" x14ac:dyDescent="0.25">
      <c r="A36" s="100"/>
      <c r="B36" s="101"/>
      <c r="C36" s="101"/>
      <c r="D36" s="101"/>
      <c r="E36" s="101"/>
      <c r="F36" s="101"/>
      <c r="G36" s="101"/>
      <c r="H36" s="102"/>
    </row>
    <row r="37" spans="1:8" x14ac:dyDescent="0.25">
      <c r="A37" s="100"/>
      <c r="B37" s="101"/>
      <c r="C37" s="101"/>
      <c r="D37" s="101"/>
      <c r="E37" s="101"/>
      <c r="F37" s="101"/>
      <c r="G37" s="101"/>
      <c r="H37" s="102"/>
    </row>
    <row r="38" spans="1:8" x14ac:dyDescent="0.25">
      <c r="A38" s="100"/>
      <c r="B38" s="101"/>
      <c r="C38" s="101"/>
      <c r="D38" s="101"/>
      <c r="E38" s="101"/>
      <c r="F38" s="101"/>
      <c r="G38" s="101"/>
      <c r="H38" s="102"/>
    </row>
    <row r="39" spans="1:8" ht="15.75" thickBot="1" x14ac:dyDescent="0.3">
      <c r="A39" s="103"/>
      <c r="B39" s="104"/>
      <c r="C39" s="104"/>
      <c r="D39" s="104"/>
      <c r="E39" s="104"/>
      <c r="F39" s="104"/>
      <c r="G39" s="104"/>
      <c r="H39" s="105"/>
    </row>
  </sheetData>
  <mergeCells count="1">
    <mergeCell ref="A31:H39"/>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DC34-2D07-4118-81A5-3C07643F4061}">
  <dimension ref="A1:L38"/>
  <sheetViews>
    <sheetView workbookViewId="0">
      <selection activeCell="AD58" sqref="AD58"/>
    </sheetView>
  </sheetViews>
  <sheetFormatPr defaultRowHeight="15" x14ac:dyDescent="0.25"/>
  <cols>
    <col min="1" max="1" width="27.85546875" bestFit="1" customWidth="1"/>
    <col min="2" max="2" width="34.5703125" customWidth="1"/>
    <col min="3" max="3" width="33.140625" customWidth="1"/>
    <col min="4" max="4" width="13.85546875" customWidth="1"/>
    <col min="9" max="9" width="14.85546875" customWidth="1"/>
    <col min="10" max="10" width="15.5703125" customWidth="1"/>
    <col min="11" max="11" width="14.140625" customWidth="1"/>
    <col min="12" max="12" width="22.140625" customWidth="1"/>
  </cols>
  <sheetData>
    <row r="1" spans="1:12" x14ac:dyDescent="0.25">
      <c r="A1" s="13" t="s">
        <v>57</v>
      </c>
      <c r="B1" s="14" t="s">
        <v>58</v>
      </c>
      <c r="C1" s="14" t="s">
        <v>59</v>
      </c>
      <c r="D1" s="12" t="s">
        <v>60</v>
      </c>
      <c r="I1" s="26" t="s">
        <v>0</v>
      </c>
      <c r="J1" s="32" t="s">
        <v>61</v>
      </c>
      <c r="K1" s="32" t="s">
        <v>62</v>
      </c>
      <c r="L1" s="27" t="s">
        <v>63</v>
      </c>
    </row>
    <row r="2" spans="1:12" x14ac:dyDescent="0.25">
      <c r="A2" s="43" t="s">
        <v>24</v>
      </c>
      <c r="B2" s="56">
        <f>AVERAGE('MoM % Change'!Y76:Y87)</f>
        <v>3.426299695059858E-3</v>
      </c>
      <c r="C2" s="56">
        <f>AVERAGE('MoM % Change'!Y88:Y99)</f>
        <v>5.1495311022466527E-3</v>
      </c>
      <c r="D2" s="29">
        <f>C2-B2</f>
        <v>1.7232314071867947E-3</v>
      </c>
      <c r="I2" s="28">
        <f>'MoM % Change'!A86</f>
        <v>43831</v>
      </c>
      <c r="J2" s="56">
        <f>'MoM % Change'!Y86</f>
        <v>5.319148936170099E-3</v>
      </c>
      <c r="K2" s="56">
        <f>'MoM % Change'!Q86</f>
        <v>-9.6774193548387101E-3</v>
      </c>
      <c r="L2" s="29">
        <f>'MoM % Change'!AE86</f>
        <v>-1.3297872340426666E-3</v>
      </c>
    </row>
    <row r="3" spans="1:12" x14ac:dyDescent="0.25">
      <c r="A3" s="43" t="s">
        <v>16</v>
      </c>
      <c r="B3" s="56">
        <f>AVERAGE('MoM % Change'!Q76:Q87)</f>
        <v>7.6173418140382818E-3</v>
      </c>
      <c r="C3" s="56">
        <f>AVERAGE('MoM % Change'!Q88:Q99)</f>
        <v>3.6052022733826308E-3</v>
      </c>
      <c r="D3" s="29">
        <f t="shared" ref="D3:D5" si="0">C3-B3</f>
        <v>-4.012139540655651E-3</v>
      </c>
      <c r="I3" s="28">
        <f>'MoM % Change'!A87</f>
        <v>43862</v>
      </c>
      <c r="J3" s="56">
        <f>'MoM % Change'!Y87</f>
        <v>3.3068783068783071E-3</v>
      </c>
      <c r="K3" s="56">
        <f>'MoM % Change'!Q87</f>
        <v>-1.9543973941368076E-2</v>
      </c>
      <c r="L3" s="29">
        <f>'MoM % Change'!AE87</f>
        <v>-7.3235685752329853E-3</v>
      </c>
    </row>
    <row r="4" spans="1:12" x14ac:dyDescent="0.25">
      <c r="A4" s="43" t="s">
        <v>25</v>
      </c>
      <c r="B4" s="56">
        <f>AVERAGE('MoM % Change'!Z76:Z87)</f>
        <v>4.2321296102583953E-3</v>
      </c>
      <c r="C4" s="56">
        <f>AVERAGE('MoM % Change'!Z88:Z99)</f>
        <v>9.0428262132259147E-3</v>
      </c>
      <c r="D4" s="29">
        <f t="shared" si="0"/>
        <v>4.8106966029675194E-3</v>
      </c>
      <c r="I4" s="28">
        <f>'MoM % Change'!A88</f>
        <v>43891</v>
      </c>
      <c r="J4" s="56">
        <f>'MoM % Change'!Y88</f>
        <v>3.9551746868821541E-3</v>
      </c>
      <c r="K4" s="56">
        <f>'MoM % Change'!Q88</f>
        <v>-1.0631229235880361E-2</v>
      </c>
      <c r="L4" s="29">
        <f>'MoM % Change'!AE88</f>
        <v>-3.3534540576794099E-3</v>
      </c>
    </row>
    <row r="5" spans="1:12" x14ac:dyDescent="0.25">
      <c r="A5" s="45" t="s">
        <v>30</v>
      </c>
      <c r="B5" s="57">
        <f>AVERAGE('MoM % Change'!AE76:AE87)</f>
        <v>5.3342386494205371E-3</v>
      </c>
      <c r="C5" s="57">
        <f>AVERAGE('MoM % Change'!AE88:AE99)</f>
        <v>4.1228556819255064E-3</v>
      </c>
      <c r="D5" s="31">
        <f t="shared" si="0"/>
        <v>-1.2113829674950307E-3</v>
      </c>
      <c r="I5" s="28">
        <f>'MoM % Change'!A89</f>
        <v>43922</v>
      </c>
      <c r="J5" s="56">
        <f>'MoM % Change'!Y89</f>
        <v>-1.0505581089954186E-2</v>
      </c>
      <c r="K5" s="56">
        <f>'MoM % Change'!Q89</f>
        <v>1.6789791806581598E-2</v>
      </c>
      <c r="L5" s="29">
        <f>'MoM % Change'!AE89</f>
        <v>7.1781067743382429E-3</v>
      </c>
    </row>
    <row r="6" spans="1:12" x14ac:dyDescent="0.25">
      <c r="I6" s="28">
        <f>'MoM % Change'!A90</f>
        <v>43952</v>
      </c>
      <c r="J6" s="56">
        <f>'MoM % Change'!Y90</f>
        <v>1.9907100199071191E-2</v>
      </c>
      <c r="K6" s="56">
        <f>'MoM % Change'!Q90</f>
        <v>5.9445178335535377E-3</v>
      </c>
      <c r="L6" s="29">
        <f>'MoM % Change'!AE90</f>
        <v>7.1269487750558443E-3</v>
      </c>
    </row>
    <row r="7" spans="1:12" x14ac:dyDescent="0.25">
      <c r="I7" s="28">
        <f>'MoM % Change'!A91</f>
        <v>43983</v>
      </c>
      <c r="J7" s="56">
        <f>'MoM % Change'!Y91</f>
        <v>4.5543266102796914E-3</v>
      </c>
      <c r="K7" s="56">
        <f>'MoM % Change'!Q91</f>
        <v>1.116217990807609E-2</v>
      </c>
      <c r="L7" s="29">
        <f>'MoM % Change'!AE91</f>
        <v>7.0765148164528714E-3</v>
      </c>
    </row>
    <row r="8" spans="1:12" x14ac:dyDescent="0.25">
      <c r="I8" s="28">
        <f>'MoM % Change'!A92</f>
        <v>44013</v>
      </c>
      <c r="J8" s="56">
        <f>'MoM % Change'!Y92</f>
        <v>0</v>
      </c>
      <c r="K8" s="56">
        <f>'MoM % Change'!Q92</f>
        <v>0</v>
      </c>
      <c r="L8" s="29">
        <f>'MoM % Change'!AE92</f>
        <v>0</v>
      </c>
    </row>
    <row r="9" spans="1:12" x14ac:dyDescent="0.25">
      <c r="I9" s="28">
        <f>'MoM % Change'!A93</f>
        <v>44044</v>
      </c>
      <c r="J9" s="56">
        <f>'MoM % Change'!Y93</f>
        <v>3.8860103626942636E-3</v>
      </c>
      <c r="K9" s="56">
        <f>'MoM % Change'!Q93</f>
        <v>1.948051948051948E-2</v>
      </c>
      <c r="L9" s="29">
        <f>'MoM % Change'!AE93</f>
        <v>1.3833992094861622E-2</v>
      </c>
    </row>
    <row r="10" spans="1:12" x14ac:dyDescent="0.25">
      <c r="I10" s="28">
        <f>'MoM % Change'!A94</f>
        <v>44075</v>
      </c>
      <c r="J10" s="56">
        <f>'MoM % Change'!Y94</f>
        <v>3.870967741935447E-3</v>
      </c>
      <c r="K10" s="56">
        <f>'MoM % Change'!Q94</f>
        <v>6.369426751592357E-3</v>
      </c>
      <c r="L10" s="29">
        <f>'MoM % Change'!AE94</f>
        <v>5.1981806367770167E-3</v>
      </c>
    </row>
    <row r="11" spans="1:12" x14ac:dyDescent="0.25">
      <c r="I11" s="28">
        <f>'MoM % Change'!A95</f>
        <v>44105</v>
      </c>
      <c r="J11" s="56">
        <f>'MoM % Change'!Y95</f>
        <v>4.4987146529564077E-3</v>
      </c>
      <c r="K11" s="56">
        <f>'MoM % Change'!Q95</f>
        <v>2.1518987341772187E-2</v>
      </c>
      <c r="L11" s="29">
        <f>'MoM % Change'!AE95</f>
        <v>1.0989010989011101E-2</v>
      </c>
    </row>
    <row r="12" spans="1:12" x14ac:dyDescent="0.25">
      <c r="I12" s="28">
        <f>'MoM % Change'!A96</f>
        <v>44136</v>
      </c>
      <c r="J12" s="56">
        <f>'MoM % Change'!Y96</f>
        <v>5.7581573896351712E-3</v>
      </c>
      <c r="K12" s="56">
        <f>'MoM % Change'!Q96</f>
        <v>2.0446096654274985E-2</v>
      </c>
      <c r="L12" s="29">
        <f>'MoM % Change'!AE96</f>
        <v>1.278772378516624E-2</v>
      </c>
    </row>
    <row r="13" spans="1:12" x14ac:dyDescent="0.25">
      <c r="I13" s="30">
        <f>'MoM % Change'!A97</f>
        <v>44166</v>
      </c>
      <c r="J13" s="57">
        <f>'MoM % Change'!Y97</f>
        <v>6.9974554707380584E-3</v>
      </c>
      <c r="K13" s="57">
        <f>'MoM % Change'!Q97</f>
        <v>4.2501517911355015E-3</v>
      </c>
      <c r="L13" s="31">
        <f>'MoM % Change'!AE97</f>
        <v>3.1565656565656565E-3</v>
      </c>
    </row>
    <row r="28" spans="1:4" ht="15.75" thickBot="1" x14ac:dyDescent="0.3"/>
    <row r="29" spans="1:4" ht="15" customHeight="1" x14ac:dyDescent="0.25">
      <c r="A29" s="97" t="s">
        <v>88</v>
      </c>
      <c r="B29" s="98"/>
      <c r="C29" s="98"/>
      <c r="D29" s="99"/>
    </row>
    <row r="30" spans="1:4" x14ac:dyDescent="0.25">
      <c r="A30" s="100"/>
      <c r="B30" s="101"/>
      <c r="C30" s="101"/>
      <c r="D30" s="102"/>
    </row>
    <row r="31" spans="1:4" x14ac:dyDescent="0.25">
      <c r="A31" s="100"/>
      <c r="B31" s="101"/>
      <c r="C31" s="101"/>
      <c r="D31" s="102"/>
    </row>
    <row r="32" spans="1:4" x14ac:dyDescent="0.25">
      <c r="A32" s="100"/>
      <c r="B32" s="101"/>
      <c r="C32" s="101"/>
      <c r="D32" s="102"/>
    </row>
    <row r="33" spans="1:4" x14ac:dyDescent="0.25">
      <c r="A33" s="100"/>
      <c r="B33" s="101"/>
      <c r="C33" s="101"/>
      <c r="D33" s="102"/>
    </row>
    <row r="34" spans="1:4" x14ac:dyDescent="0.25">
      <c r="A34" s="100"/>
      <c r="B34" s="101"/>
      <c r="C34" s="101"/>
      <c r="D34" s="102"/>
    </row>
    <row r="35" spans="1:4" x14ac:dyDescent="0.25">
      <c r="A35" s="100"/>
      <c r="B35" s="101"/>
      <c r="C35" s="101"/>
      <c r="D35" s="102"/>
    </row>
    <row r="36" spans="1:4" x14ac:dyDescent="0.25">
      <c r="A36" s="100"/>
      <c r="B36" s="101"/>
      <c r="C36" s="101"/>
      <c r="D36" s="102"/>
    </row>
    <row r="37" spans="1:4" x14ac:dyDescent="0.25">
      <c r="A37" s="100"/>
      <c r="B37" s="101"/>
      <c r="C37" s="101"/>
      <c r="D37" s="102"/>
    </row>
    <row r="38" spans="1:4" ht="15.75" thickBot="1" x14ac:dyDescent="0.3">
      <c r="A38" s="103"/>
      <c r="B38" s="104"/>
      <c r="C38" s="104"/>
      <c r="D38" s="105"/>
    </row>
  </sheetData>
  <mergeCells count="1">
    <mergeCell ref="A29:D38"/>
  </mergeCell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4308B-76A3-4B10-9725-307D6D8832DC}">
  <dimension ref="A1:X40"/>
  <sheetViews>
    <sheetView workbookViewId="0">
      <selection activeCell="Q43" sqref="Q43"/>
    </sheetView>
  </sheetViews>
  <sheetFormatPr defaultRowHeight="15" x14ac:dyDescent="0.25"/>
  <cols>
    <col min="1" max="1" width="33.7109375" customWidth="1"/>
    <col min="2" max="2" width="27.140625" customWidth="1"/>
    <col min="3" max="3" width="13.140625" customWidth="1"/>
  </cols>
  <sheetData>
    <row r="1" spans="1:3" x14ac:dyDescent="0.25">
      <c r="A1" s="13" t="s">
        <v>57</v>
      </c>
      <c r="B1" s="14" t="s">
        <v>68</v>
      </c>
      <c r="C1" s="12" t="s">
        <v>69</v>
      </c>
    </row>
    <row r="2" spans="1:3" x14ac:dyDescent="0.25">
      <c r="A2" s="70" t="s">
        <v>4</v>
      </c>
      <c r="B2" s="66">
        <f>CORREL('Oil Price Data'!$C$3:$C$30,'MoM % Change'!E99:E126)</f>
        <v>-0.24805294417741411</v>
      </c>
      <c r="C2" s="67">
        <f>ABS(B2)</f>
        <v>0.24805294417741411</v>
      </c>
    </row>
    <row r="3" spans="1:3" x14ac:dyDescent="0.25">
      <c r="A3" s="70" t="s">
        <v>5</v>
      </c>
      <c r="B3" s="66">
        <f>CORREL('Oil Price Data'!$C$3:$C$30,'MoM % Change'!F99:F126)</f>
        <v>0.44404114935161448</v>
      </c>
      <c r="C3" s="67">
        <f t="shared" ref="C3:C28" si="0">ABS(B3)</f>
        <v>0.44404114935161448</v>
      </c>
    </row>
    <row r="4" spans="1:3" x14ac:dyDescent="0.25">
      <c r="A4" s="70" t="s">
        <v>6</v>
      </c>
      <c r="B4" s="66">
        <f>CORREL('Oil Price Data'!$C$3:$C$30,'MoM % Change'!G99:G126)</f>
        <v>-0.17551885990141713</v>
      </c>
      <c r="C4" s="67">
        <f t="shared" si="0"/>
        <v>0.17551885990141713</v>
      </c>
    </row>
    <row r="5" spans="1:3" x14ac:dyDescent="0.25">
      <c r="A5" s="70" t="s">
        <v>7</v>
      </c>
      <c r="B5" s="66">
        <f>CORREL('Oil Price Data'!$C$3:$C$30,'MoM % Change'!H99:H126)</f>
        <v>-0.27398891403290432</v>
      </c>
      <c r="C5" s="67">
        <f t="shared" si="0"/>
        <v>0.27398891403290432</v>
      </c>
    </row>
    <row r="6" spans="1:3" x14ac:dyDescent="0.25">
      <c r="A6" s="70" t="s">
        <v>8</v>
      </c>
      <c r="B6" s="66">
        <f>CORREL('Oil Price Data'!$C$3:$C$30,'MoM % Change'!I99:I126)</f>
        <v>0.40288737036648758</v>
      </c>
      <c r="C6" s="67">
        <f t="shared" si="0"/>
        <v>0.40288737036648758</v>
      </c>
    </row>
    <row r="7" spans="1:3" x14ac:dyDescent="0.25">
      <c r="A7" s="70" t="s">
        <v>9</v>
      </c>
      <c r="B7" s="66">
        <f>CORREL('Oil Price Data'!$C$3:$C$30,'MoM % Change'!J99:J126)</f>
        <v>8.6079960795508406E-2</v>
      </c>
      <c r="C7" s="67">
        <f t="shared" si="0"/>
        <v>8.6079960795508406E-2</v>
      </c>
    </row>
    <row r="8" spans="1:3" x14ac:dyDescent="0.25">
      <c r="A8" s="70" t="s">
        <v>10</v>
      </c>
      <c r="B8" s="66">
        <f>CORREL('Oil Price Data'!$C$3:$C$30,'MoM % Change'!K99:K126)</f>
        <v>3.0593198141110781E-2</v>
      </c>
      <c r="C8" s="67">
        <f t="shared" si="0"/>
        <v>3.0593198141110781E-2</v>
      </c>
    </row>
    <row r="9" spans="1:3" x14ac:dyDescent="0.25">
      <c r="A9" s="70" t="s">
        <v>11</v>
      </c>
      <c r="B9" s="66">
        <f>CORREL('Oil Price Data'!$C$3:$C$30,'MoM % Change'!L99:L126)</f>
        <v>-0.19229585604967478</v>
      </c>
      <c r="C9" s="67">
        <f t="shared" si="0"/>
        <v>0.19229585604967478</v>
      </c>
    </row>
    <row r="10" spans="1:3" x14ac:dyDescent="0.25">
      <c r="A10" s="70" t="s">
        <v>12</v>
      </c>
      <c r="B10" s="66">
        <f>CORREL('Oil Price Data'!$C$3:$C$30,'MoM % Change'!M99:M126)</f>
        <v>-0.18635779397693969</v>
      </c>
      <c r="C10" s="67">
        <f t="shared" si="0"/>
        <v>0.18635779397693969</v>
      </c>
    </row>
    <row r="11" spans="1:3" x14ac:dyDescent="0.25">
      <c r="A11" s="70" t="s">
        <v>13</v>
      </c>
      <c r="B11" s="66">
        <f>CORREL('Oil Price Data'!$C$3:$C$30,'MoM % Change'!N99:N126)</f>
        <v>-0.14638646974703218</v>
      </c>
      <c r="C11" s="67">
        <f t="shared" si="0"/>
        <v>0.14638646974703218</v>
      </c>
    </row>
    <row r="12" spans="1:3" x14ac:dyDescent="0.25">
      <c r="A12" s="70" t="s">
        <v>14</v>
      </c>
      <c r="B12" s="66">
        <f>CORREL('Oil Price Data'!$C$3:$C$30,'MoM % Change'!O99:O126)</f>
        <v>0.14172257541669017</v>
      </c>
      <c r="C12" s="67">
        <f t="shared" si="0"/>
        <v>0.14172257541669017</v>
      </c>
    </row>
    <row r="13" spans="1:3" x14ac:dyDescent="0.25">
      <c r="A13" s="70" t="s">
        <v>15</v>
      </c>
      <c r="B13" s="66">
        <f>CORREL('Oil Price Data'!$C$3:$C$30,'MoM % Change'!P99:P126)</f>
        <v>5.9577524913414823E-2</v>
      </c>
      <c r="C13" s="67">
        <f t="shared" si="0"/>
        <v>5.9577524913414823E-2</v>
      </c>
    </row>
    <row r="14" spans="1:3" x14ac:dyDescent="0.25">
      <c r="A14" s="70" t="s">
        <v>16</v>
      </c>
      <c r="B14" s="66">
        <f>CORREL('Oil Price Data'!$C$3:$C$30,'MoM % Change'!Q99:Q126)</f>
        <v>0.10585094009522682</v>
      </c>
      <c r="C14" s="67">
        <f t="shared" si="0"/>
        <v>0.10585094009522682</v>
      </c>
    </row>
    <row r="15" spans="1:3" x14ac:dyDescent="0.25">
      <c r="A15" s="70" t="s">
        <v>17</v>
      </c>
      <c r="B15" s="66">
        <f>CORREL('Oil Price Data'!$C$3:$C$30,'MoM % Change'!R99:R126)</f>
        <v>0.15683405444967519</v>
      </c>
      <c r="C15" s="67">
        <f t="shared" si="0"/>
        <v>0.15683405444967519</v>
      </c>
    </row>
    <row r="16" spans="1:3" x14ac:dyDescent="0.25">
      <c r="A16" s="70" t="s">
        <v>18</v>
      </c>
      <c r="B16" s="66">
        <f>CORREL('Oil Price Data'!$C$3:$C$30,'MoM % Change'!S99:S126)</f>
        <v>0.10340561965126466</v>
      </c>
      <c r="C16" s="67">
        <f t="shared" si="0"/>
        <v>0.10340561965126466</v>
      </c>
    </row>
    <row r="17" spans="1:3" x14ac:dyDescent="0.25">
      <c r="A17" s="70" t="s">
        <v>19</v>
      </c>
      <c r="B17" s="66">
        <f>CORREL('Oil Price Data'!$C$3:$C$30,'MoM % Change'!T99:T126)</f>
        <v>0.17820950666981789</v>
      </c>
      <c r="C17" s="67">
        <f t="shared" si="0"/>
        <v>0.17820950666981789</v>
      </c>
    </row>
    <row r="18" spans="1:3" x14ac:dyDescent="0.25">
      <c r="A18" s="70" t="s">
        <v>20</v>
      </c>
      <c r="B18" s="66">
        <f>CORREL('Oil Price Data'!$C$3:$C$30,'MoM % Change'!U99:U126)</f>
        <v>0.12211689944468027</v>
      </c>
      <c r="C18" s="67">
        <f t="shared" si="0"/>
        <v>0.12211689944468027</v>
      </c>
    </row>
    <row r="19" spans="1:3" x14ac:dyDescent="0.25">
      <c r="A19" s="70" t="s">
        <v>21</v>
      </c>
      <c r="B19" s="66">
        <f>CORREL('Oil Price Data'!$C$3:$C$30,'MoM % Change'!V99:V126)</f>
        <v>0.12963362734157097</v>
      </c>
      <c r="C19" s="67">
        <f t="shared" si="0"/>
        <v>0.12963362734157097</v>
      </c>
    </row>
    <row r="20" spans="1:3" x14ac:dyDescent="0.25">
      <c r="A20" s="70" t="s">
        <v>22</v>
      </c>
      <c r="B20" s="66">
        <f>CORREL('Oil Price Data'!$C$3:$C$30,'MoM % Change'!W99:W126)</f>
        <v>9.4169945158351642E-2</v>
      </c>
      <c r="C20" s="67">
        <f t="shared" si="0"/>
        <v>9.4169945158351642E-2</v>
      </c>
    </row>
    <row r="21" spans="1:3" x14ac:dyDescent="0.25">
      <c r="A21" s="70" t="s">
        <v>23</v>
      </c>
      <c r="B21" s="66">
        <f>CORREL('Oil Price Data'!$C$3:$C$30,'MoM % Change'!X99:X126)</f>
        <v>2.7133749008399688E-3</v>
      </c>
      <c r="C21" s="67">
        <f t="shared" si="0"/>
        <v>2.7133749008399688E-3</v>
      </c>
    </row>
    <row r="22" spans="1:3" x14ac:dyDescent="0.25">
      <c r="A22" s="70" t="s">
        <v>24</v>
      </c>
      <c r="B22" s="66">
        <f>CORREL('Oil Price Data'!$C$3:$C$30,'MoM % Change'!Y99:Y126)</f>
        <v>5.8301361081974326E-2</v>
      </c>
      <c r="C22" s="67">
        <f t="shared" si="0"/>
        <v>5.8301361081974326E-2</v>
      </c>
    </row>
    <row r="23" spans="1:3" x14ac:dyDescent="0.25">
      <c r="A23" s="70" t="s">
        <v>25</v>
      </c>
      <c r="B23" s="66">
        <f>CORREL('Oil Price Data'!$C$3:$C$30,'MoM % Change'!Z99:Z126)</f>
        <v>8.2848666798967546E-2</v>
      </c>
      <c r="C23" s="67">
        <f t="shared" si="0"/>
        <v>8.2848666798967546E-2</v>
      </c>
    </row>
    <row r="24" spans="1:3" x14ac:dyDescent="0.25">
      <c r="A24" s="70" t="s">
        <v>26</v>
      </c>
      <c r="B24" s="66">
        <f>CORREL('Oil Price Data'!$C$3:$C$30,'MoM % Change'!AA99:AA126)</f>
        <v>0.107837172423334</v>
      </c>
      <c r="C24" s="67">
        <f t="shared" si="0"/>
        <v>0.107837172423334</v>
      </c>
    </row>
    <row r="25" spans="1:3" x14ac:dyDescent="0.25">
      <c r="A25" s="70" t="s">
        <v>27</v>
      </c>
      <c r="B25" s="66">
        <f>CORREL('Oil Price Data'!$C$3:$C$30,'MoM % Change'!AB99:AB126)</f>
        <v>-0.15087702012638235</v>
      </c>
      <c r="C25" s="67">
        <f t="shared" si="0"/>
        <v>0.15087702012638235</v>
      </c>
    </row>
    <row r="26" spans="1:3" x14ac:dyDescent="0.25">
      <c r="A26" s="70" t="s">
        <v>28</v>
      </c>
      <c r="B26" s="66">
        <f>CORREL('Oil Price Data'!$C$3:$C$30,'MoM % Change'!AC99:AC126)</f>
        <v>7.9638445881501568E-2</v>
      </c>
      <c r="C26" s="67">
        <f t="shared" si="0"/>
        <v>7.9638445881501568E-2</v>
      </c>
    </row>
    <row r="27" spans="1:3" x14ac:dyDescent="0.25">
      <c r="A27" s="70" t="s">
        <v>29</v>
      </c>
      <c r="B27" s="66">
        <f>CORREL('Oil Price Data'!$C$3:$C$30,'MoM % Change'!AD99:AD126)</f>
        <v>7.7950806014499024E-2</v>
      </c>
      <c r="C27" s="67">
        <f t="shared" si="0"/>
        <v>7.7950806014499024E-2</v>
      </c>
    </row>
    <row r="28" spans="1:3" x14ac:dyDescent="0.25">
      <c r="A28" s="71" t="s">
        <v>30</v>
      </c>
      <c r="B28" s="68">
        <f>CORREL('Oil Price Data'!$C$3:$C$30,'MoM % Change'!AE99:AE126)</f>
        <v>0.12927341119107491</v>
      </c>
      <c r="C28" s="69">
        <f t="shared" si="0"/>
        <v>0.12927341119107491</v>
      </c>
    </row>
    <row r="31" spans="1:3" x14ac:dyDescent="0.25">
      <c r="A31" s="72" t="s">
        <v>70</v>
      </c>
      <c r="B31" s="48" t="str">
        <f>INDEX(A2:A28,MATCH(MAX(C2:C28),C2:C28,0))</f>
        <v>Meat and fish</v>
      </c>
    </row>
    <row r="32" spans="1:3" x14ac:dyDescent="0.25">
      <c r="A32" s="73" t="s">
        <v>71</v>
      </c>
      <c r="B32" s="74">
        <f>B20</f>
        <v>9.4169945158351642E-2</v>
      </c>
    </row>
    <row r="33" spans="1:24" ht="15.75" thickBot="1" x14ac:dyDescent="0.3"/>
    <row r="34" spans="1:24" x14ac:dyDescent="0.25">
      <c r="A34" s="106" t="s">
        <v>72</v>
      </c>
      <c r="B34" s="107"/>
      <c r="C34" s="107"/>
      <c r="D34" s="107"/>
      <c r="E34" s="107"/>
      <c r="F34" s="107"/>
      <c r="G34" s="107"/>
      <c r="H34" s="107"/>
      <c r="I34" s="107"/>
      <c r="J34" s="107"/>
      <c r="K34" s="107"/>
      <c r="L34" s="107"/>
      <c r="M34" s="107"/>
      <c r="N34" s="107"/>
      <c r="O34" s="107"/>
      <c r="P34" s="107"/>
      <c r="Q34" s="107"/>
      <c r="R34" s="107"/>
      <c r="S34" s="107"/>
      <c r="T34" s="107"/>
      <c r="U34" s="107"/>
      <c r="V34" s="107"/>
      <c r="W34" s="107"/>
      <c r="X34" s="108"/>
    </row>
    <row r="35" spans="1:24" x14ac:dyDescent="0.25">
      <c r="A35" s="109"/>
      <c r="B35" s="110"/>
      <c r="C35" s="110"/>
      <c r="D35" s="110"/>
      <c r="E35" s="110"/>
      <c r="F35" s="110"/>
      <c r="G35" s="110"/>
      <c r="H35" s="110"/>
      <c r="I35" s="110"/>
      <c r="J35" s="110"/>
      <c r="K35" s="110"/>
      <c r="L35" s="110"/>
      <c r="M35" s="110"/>
      <c r="N35" s="110"/>
      <c r="O35" s="110"/>
      <c r="P35" s="110"/>
      <c r="Q35" s="110"/>
      <c r="R35" s="110"/>
      <c r="S35" s="110"/>
      <c r="T35" s="110"/>
      <c r="U35" s="110"/>
      <c r="V35" s="110"/>
      <c r="W35" s="110"/>
      <c r="X35" s="111"/>
    </row>
    <row r="36" spans="1:24" x14ac:dyDescent="0.25">
      <c r="A36" s="109"/>
      <c r="B36" s="110"/>
      <c r="C36" s="110"/>
      <c r="D36" s="110"/>
      <c r="E36" s="110"/>
      <c r="F36" s="110"/>
      <c r="G36" s="110"/>
      <c r="H36" s="110"/>
      <c r="I36" s="110"/>
      <c r="J36" s="110"/>
      <c r="K36" s="110"/>
      <c r="L36" s="110"/>
      <c r="M36" s="110"/>
      <c r="N36" s="110"/>
      <c r="O36" s="110"/>
      <c r="P36" s="110"/>
      <c r="Q36" s="110"/>
      <c r="R36" s="110"/>
      <c r="S36" s="110"/>
      <c r="T36" s="110"/>
      <c r="U36" s="110"/>
      <c r="V36" s="110"/>
      <c r="W36" s="110"/>
      <c r="X36" s="111"/>
    </row>
    <row r="37" spans="1:24" x14ac:dyDescent="0.25">
      <c r="A37" s="109"/>
      <c r="B37" s="110"/>
      <c r="C37" s="110"/>
      <c r="D37" s="110"/>
      <c r="E37" s="110"/>
      <c r="F37" s="110"/>
      <c r="G37" s="110"/>
      <c r="H37" s="110"/>
      <c r="I37" s="110"/>
      <c r="J37" s="110"/>
      <c r="K37" s="110"/>
      <c r="L37" s="110"/>
      <c r="M37" s="110"/>
      <c r="N37" s="110"/>
      <c r="O37" s="110"/>
      <c r="P37" s="110"/>
      <c r="Q37" s="110"/>
      <c r="R37" s="110"/>
      <c r="S37" s="110"/>
      <c r="T37" s="110"/>
      <c r="U37" s="110"/>
      <c r="V37" s="110"/>
      <c r="W37" s="110"/>
      <c r="X37" s="111"/>
    </row>
    <row r="38" spans="1:24" x14ac:dyDescent="0.25">
      <c r="A38" s="109"/>
      <c r="B38" s="110"/>
      <c r="C38" s="110"/>
      <c r="D38" s="110"/>
      <c r="E38" s="110"/>
      <c r="F38" s="110"/>
      <c r="G38" s="110"/>
      <c r="H38" s="110"/>
      <c r="I38" s="110"/>
      <c r="J38" s="110"/>
      <c r="K38" s="110"/>
      <c r="L38" s="110"/>
      <c r="M38" s="110"/>
      <c r="N38" s="110"/>
      <c r="O38" s="110"/>
      <c r="P38" s="110"/>
      <c r="Q38" s="110"/>
      <c r="R38" s="110"/>
      <c r="S38" s="110"/>
      <c r="T38" s="110"/>
      <c r="U38" s="110"/>
      <c r="V38" s="110"/>
      <c r="W38" s="110"/>
      <c r="X38" s="111"/>
    </row>
    <row r="39" spans="1:24" x14ac:dyDescent="0.25">
      <c r="A39" s="109"/>
      <c r="B39" s="110"/>
      <c r="C39" s="110"/>
      <c r="D39" s="110"/>
      <c r="E39" s="110"/>
      <c r="F39" s="110"/>
      <c r="G39" s="110"/>
      <c r="H39" s="110"/>
      <c r="I39" s="110"/>
      <c r="J39" s="110"/>
      <c r="K39" s="110"/>
      <c r="L39" s="110"/>
      <c r="M39" s="110"/>
      <c r="N39" s="110"/>
      <c r="O39" s="110"/>
      <c r="P39" s="110"/>
      <c r="Q39" s="110"/>
      <c r="R39" s="110"/>
      <c r="S39" s="110"/>
      <c r="T39" s="110"/>
      <c r="U39" s="110"/>
      <c r="V39" s="110"/>
      <c r="W39" s="110"/>
      <c r="X39" s="111"/>
    </row>
    <row r="40" spans="1:24" ht="15.75" thickBot="1" x14ac:dyDescent="0.3">
      <c r="A40" s="112"/>
      <c r="B40" s="113"/>
      <c r="C40" s="113"/>
      <c r="D40" s="113"/>
      <c r="E40" s="113"/>
      <c r="F40" s="113"/>
      <c r="G40" s="113"/>
      <c r="H40" s="113"/>
      <c r="I40" s="113"/>
      <c r="J40" s="113"/>
      <c r="K40" s="113"/>
      <c r="L40" s="113"/>
      <c r="M40" s="113"/>
      <c r="N40" s="113"/>
      <c r="O40" s="113"/>
      <c r="P40" s="113"/>
      <c r="Q40" s="113"/>
      <c r="R40" s="113"/>
      <c r="S40" s="113"/>
      <c r="T40" s="113"/>
      <c r="U40" s="113"/>
      <c r="V40" s="113"/>
      <c r="W40" s="113"/>
      <c r="X40" s="114"/>
    </row>
  </sheetData>
  <mergeCells count="1">
    <mergeCell ref="A34:X40"/>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6"/>
  <sheetViews>
    <sheetView topLeftCell="Q67" workbookViewId="0">
      <selection activeCell="I71" sqref="I71"/>
    </sheetView>
  </sheetViews>
  <sheetFormatPr defaultRowHeight="15" x14ac:dyDescent="0.25"/>
  <cols>
    <col min="1" max="1" width="10.42578125" bestFit="1" customWidth="1"/>
    <col min="2" max="2" width="11.85546875" bestFit="1" customWidth="1"/>
    <col min="3" max="3" width="7.28515625" bestFit="1" customWidth="1"/>
    <col min="4" max="4" width="10.85546875" bestFit="1" customWidth="1"/>
    <col min="5" max="5" width="22" bestFit="1" customWidth="1"/>
    <col min="6" max="6" width="15.5703125" bestFit="1" customWidth="1"/>
    <col min="7" max="7" width="6.28515625" bestFit="1" customWidth="1"/>
    <col min="8" max="8" width="19.28515625" bestFit="1" customWidth="1"/>
    <col min="9" max="9" width="14.140625" bestFit="1" customWidth="1"/>
    <col min="10" max="10" width="8.28515625" bestFit="1" customWidth="1"/>
    <col min="11" max="11" width="13.28515625" bestFit="1" customWidth="1"/>
    <col min="12" max="12" width="21.140625" bestFit="1" customWidth="1"/>
    <col min="13" max="13" width="25.28515625" bestFit="1" customWidth="1"/>
    <col min="14" max="14" width="8.85546875" bestFit="1" customWidth="1"/>
    <col min="15" max="15" width="25.5703125" bestFit="1" customWidth="1"/>
    <col min="16" max="16" width="35.5703125" bestFit="1" customWidth="1"/>
    <col min="17" max="17" width="21.28515625" bestFit="1" customWidth="1"/>
    <col min="18" max="18" width="28.85546875" bestFit="1" customWidth="1"/>
    <col min="19" max="19" width="10.7109375" bestFit="1" customWidth="1"/>
    <col min="20" max="20" width="11.7109375" bestFit="1" customWidth="1"/>
    <col min="21" max="21" width="23.28515625" bestFit="1" customWidth="1"/>
    <col min="22" max="22" width="10.42578125" bestFit="1" customWidth="1"/>
    <col min="23" max="23" width="15.42578125" bestFit="1" customWidth="1"/>
    <col min="24" max="24" width="30.42578125" bestFit="1" customWidth="1"/>
    <col min="26" max="26" width="30.140625" bestFit="1" customWidth="1"/>
    <col min="27" max="27" width="28.140625" bestFit="1" customWidth="1"/>
    <col min="28" max="28" width="12" bestFit="1" customWidth="1"/>
    <col min="29" max="29" width="25.85546875" bestFit="1" customWidth="1"/>
    <col min="30" max="30" width="16.28515625" bestFit="1" customWidth="1"/>
    <col min="31" max="31" width="16"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s="1">
        <v>41275</v>
      </c>
      <c r="B2" s="2" t="s">
        <v>31</v>
      </c>
      <c r="C2">
        <v>2013</v>
      </c>
      <c r="D2" s="2" t="s">
        <v>32</v>
      </c>
      <c r="E2">
        <v>108.4</v>
      </c>
      <c r="F2">
        <v>107.3</v>
      </c>
      <c r="G2">
        <v>110</v>
      </c>
      <c r="H2">
        <v>104.4</v>
      </c>
      <c r="I2">
        <v>105.1</v>
      </c>
      <c r="J2">
        <v>103.2</v>
      </c>
      <c r="K2">
        <v>102.2</v>
      </c>
      <c r="L2">
        <v>106</v>
      </c>
      <c r="M2">
        <v>106.2</v>
      </c>
      <c r="N2">
        <v>102.7</v>
      </c>
      <c r="O2">
        <v>104.9</v>
      </c>
      <c r="P2">
        <v>107.3</v>
      </c>
      <c r="Q2">
        <v>105.6</v>
      </c>
      <c r="R2">
        <v>105.1</v>
      </c>
      <c r="S2">
        <v>106.3</v>
      </c>
      <c r="T2">
        <v>105.5</v>
      </c>
      <c r="U2">
        <v>106.2</v>
      </c>
      <c r="V2">
        <v>100.3</v>
      </c>
      <c r="W2">
        <v>105.5</v>
      </c>
      <c r="X2">
        <v>104.8</v>
      </c>
      <c r="Y2">
        <v>104</v>
      </c>
      <c r="Z2">
        <v>103.2</v>
      </c>
      <c r="AA2">
        <v>103.1</v>
      </c>
      <c r="AB2">
        <v>103.6</v>
      </c>
      <c r="AC2">
        <v>104.5</v>
      </c>
      <c r="AD2">
        <v>103.9</v>
      </c>
      <c r="AE2">
        <v>104.6</v>
      </c>
    </row>
    <row r="3" spans="1:31" x14ac:dyDescent="0.25">
      <c r="A3" s="1">
        <v>41306</v>
      </c>
      <c r="B3" s="2" t="s">
        <v>31</v>
      </c>
      <c r="C3">
        <v>2013</v>
      </c>
      <c r="D3" s="2" t="s">
        <v>33</v>
      </c>
      <c r="E3">
        <v>110.4</v>
      </c>
      <c r="F3">
        <v>110.2</v>
      </c>
      <c r="G3">
        <v>112.8</v>
      </c>
      <c r="H3">
        <v>104.9</v>
      </c>
      <c r="I3">
        <v>105.5</v>
      </c>
      <c r="J3">
        <v>103.6</v>
      </c>
      <c r="K3">
        <v>103.2</v>
      </c>
      <c r="L3">
        <v>105.3</v>
      </c>
      <c r="M3">
        <v>105.1</v>
      </c>
      <c r="N3">
        <v>102.8</v>
      </c>
      <c r="O3">
        <v>105.5</v>
      </c>
      <c r="P3">
        <v>108.3</v>
      </c>
      <c r="Q3">
        <v>106.6</v>
      </c>
      <c r="R3">
        <v>105.7</v>
      </c>
      <c r="S3">
        <v>106.9</v>
      </c>
      <c r="T3">
        <v>106</v>
      </c>
      <c r="U3">
        <v>106.8</v>
      </c>
      <c r="V3">
        <v>100.4</v>
      </c>
      <c r="W3">
        <v>106</v>
      </c>
      <c r="X3">
        <v>105.2</v>
      </c>
      <c r="Y3">
        <v>104.5</v>
      </c>
      <c r="Z3">
        <v>104.2</v>
      </c>
      <c r="AA3">
        <v>103.6</v>
      </c>
      <c r="AB3">
        <v>103.9</v>
      </c>
      <c r="AC3">
        <v>104.5</v>
      </c>
      <c r="AD3">
        <v>104.4</v>
      </c>
      <c r="AE3">
        <v>105.3</v>
      </c>
    </row>
    <row r="4" spans="1:31" x14ac:dyDescent="0.25">
      <c r="A4" s="1">
        <v>41334</v>
      </c>
      <c r="B4" s="2" t="s">
        <v>31</v>
      </c>
      <c r="C4">
        <v>2013</v>
      </c>
      <c r="D4" s="2" t="s">
        <v>34</v>
      </c>
      <c r="E4">
        <v>111.4</v>
      </c>
      <c r="F4">
        <v>109.7</v>
      </c>
      <c r="G4">
        <v>111.2</v>
      </c>
      <c r="H4">
        <v>105.1</v>
      </c>
      <c r="I4">
        <v>104.9</v>
      </c>
      <c r="J4">
        <v>105.3</v>
      </c>
      <c r="K4">
        <v>102.2</v>
      </c>
      <c r="L4">
        <v>105</v>
      </c>
      <c r="M4">
        <v>104.2</v>
      </c>
      <c r="N4">
        <v>103</v>
      </c>
      <c r="O4">
        <v>106.2</v>
      </c>
      <c r="P4">
        <v>108.9</v>
      </c>
      <c r="Q4">
        <v>106.9</v>
      </c>
      <c r="R4">
        <v>106.6</v>
      </c>
      <c r="S4">
        <v>107.4</v>
      </c>
      <c r="T4">
        <v>106.5</v>
      </c>
      <c r="U4">
        <v>107.3</v>
      </c>
      <c r="V4">
        <v>100.4</v>
      </c>
      <c r="W4">
        <v>106.1</v>
      </c>
      <c r="X4">
        <v>105.6</v>
      </c>
      <c r="Y4">
        <v>104.9</v>
      </c>
      <c r="Z4">
        <v>105.1</v>
      </c>
      <c r="AA4">
        <v>103.7</v>
      </c>
      <c r="AB4">
        <v>104</v>
      </c>
      <c r="AC4">
        <v>104.3</v>
      </c>
      <c r="AD4">
        <v>104.7</v>
      </c>
      <c r="AE4">
        <v>105.5</v>
      </c>
    </row>
    <row r="5" spans="1:31" x14ac:dyDescent="0.25">
      <c r="A5" s="1">
        <v>41365</v>
      </c>
      <c r="B5" s="2" t="s">
        <v>31</v>
      </c>
      <c r="C5">
        <v>2013</v>
      </c>
      <c r="D5" s="2" t="s">
        <v>35</v>
      </c>
      <c r="E5">
        <v>111.6</v>
      </c>
      <c r="F5">
        <v>110.9</v>
      </c>
      <c r="G5">
        <v>106.6</v>
      </c>
      <c r="H5">
        <v>105.7</v>
      </c>
      <c r="I5">
        <v>104.4</v>
      </c>
      <c r="J5">
        <v>108.9</v>
      </c>
      <c r="K5">
        <v>105.5</v>
      </c>
      <c r="L5">
        <v>105.3</v>
      </c>
      <c r="M5">
        <v>103.5</v>
      </c>
      <c r="N5">
        <v>103.3</v>
      </c>
      <c r="O5">
        <v>107.2</v>
      </c>
      <c r="P5">
        <v>109.6</v>
      </c>
      <c r="Q5">
        <v>107.7</v>
      </c>
      <c r="R5">
        <v>107.5</v>
      </c>
      <c r="S5">
        <v>108</v>
      </c>
      <c r="T5">
        <v>107</v>
      </c>
      <c r="U5">
        <v>107.9</v>
      </c>
      <c r="V5">
        <v>100.5</v>
      </c>
      <c r="W5">
        <v>106.5</v>
      </c>
      <c r="X5">
        <v>106.3</v>
      </c>
      <c r="Y5">
        <v>105.3</v>
      </c>
      <c r="Z5">
        <v>104.7</v>
      </c>
      <c r="AA5">
        <v>104.2</v>
      </c>
      <c r="AB5">
        <v>105</v>
      </c>
      <c r="AC5">
        <v>102.9</v>
      </c>
      <c r="AD5">
        <v>104.8</v>
      </c>
      <c r="AE5">
        <v>106.1</v>
      </c>
    </row>
    <row r="6" spans="1:31" x14ac:dyDescent="0.25">
      <c r="A6" s="1">
        <v>41395</v>
      </c>
      <c r="B6" s="2" t="s">
        <v>31</v>
      </c>
      <c r="C6">
        <v>2013</v>
      </c>
      <c r="D6" s="2" t="s">
        <v>36</v>
      </c>
      <c r="E6">
        <v>112.3</v>
      </c>
      <c r="F6">
        <v>111.3</v>
      </c>
      <c r="G6">
        <v>104.7</v>
      </c>
      <c r="H6">
        <v>106.8</v>
      </c>
      <c r="I6">
        <v>103.9</v>
      </c>
      <c r="J6">
        <v>109.3</v>
      </c>
      <c r="K6">
        <v>112.9</v>
      </c>
      <c r="L6">
        <v>105.8</v>
      </c>
      <c r="M6">
        <v>103.1</v>
      </c>
      <c r="N6">
        <v>104.3</v>
      </c>
      <c r="O6">
        <v>108.1</v>
      </c>
      <c r="P6">
        <v>110.5</v>
      </c>
      <c r="Q6">
        <v>109.2</v>
      </c>
      <c r="R6">
        <v>108.6</v>
      </c>
      <c r="S6">
        <v>108.7</v>
      </c>
      <c r="T6">
        <v>107.4</v>
      </c>
      <c r="U6">
        <v>108.5</v>
      </c>
      <c r="V6">
        <v>100.5</v>
      </c>
      <c r="W6">
        <v>107.4</v>
      </c>
      <c r="X6">
        <v>106.9</v>
      </c>
      <c r="Y6">
        <v>105.9</v>
      </c>
      <c r="Z6">
        <v>104</v>
      </c>
      <c r="AA6">
        <v>104.8</v>
      </c>
      <c r="AB6">
        <v>105.6</v>
      </c>
      <c r="AC6">
        <v>102.3</v>
      </c>
      <c r="AD6">
        <v>104.8</v>
      </c>
      <c r="AE6">
        <v>106.9</v>
      </c>
    </row>
    <row r="7" spans="1:31" x14ac:dyDescent="0.25">
      <c r="A7" s="1">
        <v>41426</v>
      </c>
      <c r="B7" s="2" t="s">
        <v>31</v>
      </c>
      <c r="C7">
        <v>2013</v>
      </c>
      <c r="D7" s="2" t="s">
        <v>37</v>
      </c>
      <c r="E7">
        <v>113.8</v>
      </c>
      <c r="F7">
        <v>114.9</v>
      </c>
      <c r="G7">
        <v>109.8</v>
      </c>
      <c r="H7">
        <v>107.9</v>
      </c>
      <c r="I7">
        <v>104.2</v>
      </c>
      <c r="J7">
        <v>110.7</v>
      </c>
      <c r="K7">
        <v>126.7</v>
      </c>
      <c r="L7">
        <v>106.3</v>
      </c>
      <c r="M7">
        <v>103.2</v>
      </c>
      <c r="N7">
        <v>105.7</v>
      </c>
      <c r="O7">
        <v>109</v>
      </c>
      <c r="P7">
        <v>111.6</v>
      </c>
      <c r="Q7">
        <v>112.2</v>
      </c>
      <c r="R7">
        <v>109.5</v>
      </c>
      <c r="S7">
        <v>109.5</v>
      </c>
      <c r="T7">
        <v>108.1</v>
      </c>
      <c r="U7">
        <v>109.3</v>
      </c>
      <c r="V7">
        <v>106.6</v>
      </c>
      <c r="W7">
        <v>108.3</v>
      </c>
      <c r="X7">
        <v>107.6</v>
      </c>
      <c r="Y7">
        <v>106.4</v>
      </c>
      <c r="Z7">
        <v>105.1</v>
      </c>
      <c r="AA7">
        <v>105.4</v>
      </c>
      <c r="AB7">
        <v>107.4</v>
      </c>
      <c r="AC7">
        <v>102.8</v>
      </c>
      <c r="AD7">
        <v>105.8</v>
      </c>
      <c r="AE7">
        <v>109.3</v>
      </c>
    </row>
    <row r="8" spans="1:31" x14ac:dyDescent="0.25">
      <c r="A8" s="1">
        <v>41456</v>
      </c>
      <c r="B8" s="2" t="s">
        <v>31</v>
      </c>
      <c r="C8">
        <v>2013</v>
      </c>
      <c r="D8" s="2" t="s">
        <v>38</v>
      </c>
      <c r="E8">
        <v>114.8</v>
      </c>
      <c r="F8">
        <v>116.4</v>
      </c>
      <c r="G8">
        <v>111.9</v>
      </c>
      <c r="H8">
        <v>108.9</v>
      </c>
      <c r="I8">
        <v>104.3</v>
      </c>
      <c r="J8">
        <v>111.7</v>
      </c>
      <c r="K8">
        <v>140</v>
      </c>
      <c r="L8">
        <v>106.4</v>
      </c>
      <c r="M8">
        <v>103.3</v>
      </c>
      <c r="N8">
        <v>106.8</v>
      </c>
      <c r="O8">
        <v>109.6</v>
      </c>
      <c r="P8">
        <v>112.6</v>
      </c>
      <c r="Q8">
        <v>114.7</v>
      </c>
      <c r="R8">
        <v>110.3</v>
      </c>
      <c r="S8">
        <v>110.2</v>
      </c>
      <c r="T8">
        <v>108.8</v>
      </c>
      <c r="U8">
        <v>110</v>
      </c>
      <c r="V8">
        <v>107.7</v>
      </c>
      <c r="W8">
        <v>109.2</v>
      </c>
      <c r="X8">
        <v>108.2</v>
      </c>
      <c r="Y8">
        <v>107</v>
      </c>
      <c r="Z8">
        <v>107.1</v>
      </c>
      <c r="AA8">
        <v>106.1</v>
      </c>
      <c r="AB8">
        <v>109.1</v>
      </c>
      <c r="AC8">
        <v>102.8</v>
      </c>
      <c r="AD8">
        <v>106.9</v>
      </c>
      <c r="AE8">
        <v>111</v>
      </c>
    </row>
    <row r="9" spans="1:31" x14ac:dyDescent="0.25">
      <c r="A9" s="1">
        <v>41487</v>
      </c>
      <c r="B9" s="2" t="s">
        <v>31</v>
      </c>
      <c r="C9">
        <v>2013</v>
      </c>
      <c r="D9" s="2" t="s">
        <v>39</v>
      </c>
      <c r="E9">
        <v>115.6</v>
      </c>
      <c r="F9">
        <v>117.2</v>
      </c>
      <c r="G9">
        <v>111.7</v>
      </c>
      <c r="H9">
        <v>109.6</v>
      </c>
      <c r="I9">
        <v>104.5</v>
      </c>
      <c r="J9">
        <v>109.8</v>
      </c>
      <c r="K9">
        <v>151.80000000000001</v>
      </c>
      <c r="L9">
        <v>106.5</v>
      </c>
      <c r="M9">
        <v>103.1</v>
      </c>
      <c r="N9">
        <v>107.4</v>
      </c>
      <c r="O9">
        <v>110.2</v>
      </c>
      <c r="P9">
        <v>113.4</v>
      </c>
      <c r="Q9">
        <v>116.6</v>
      </c>
      <c r="R9">
        <v>111.2</v>
      </c>
      <c r="S9">
        <v>111</v>
      </c>
      <c r="T9">
        <v>109.4</v>
      </c>
      <c r="U9">
        <v>110.7</v>
      </c>
      <c r="V9">
        <v>108.9</v>
      </c>
      <c r="W9">
        <v>109.7</v>
      </c>
      <c r="X9">
        <v>108.7</v>
      </c>
      <c r="Y9">
        <v>107.5</v>
      </c>
      <c r="Z9">
        <v>108</v>
      </c>
      <c r="AA9">
        <v>106.6</v>
      </c>
      <c r="AB9">
        <v>109.9</v>
      </c>
      <c r="AC9">
        <v>105.4</v>
      </c>
      <c r="AD9">
        <v>107.9</v>
      </c>
      <c r="AE9">
        <v>112.4</v>
      </c>
    </row>
    <row r="10" spans="1:31" x14ac:dyDescent="0.25">
      <c r="A10" s="1">
        <v>41518</v>
      </c>
      <c r="B10" s="2" t="s">
        <v>31</v>
      </c>
      <c r="C10">
        <v>2013</v>
      </c>
      <c r="D10" s="2" t="s">
        <v>40</v>
      </c>
      <c r="E10">
        <v>116.4</v>
      </c>
      <c r="F10">
        <v>116.9</v>
      </c>
      <c r="G10">
        <v>112.3</v>
      </c>
      <c r="H10">
        <v>110.5</v>
      </c>
      <c r="I10">
        <v>105.3</v>
      </c>
      <c r="J10">
        <v>107.3</v>
      </c>
      <c r="K10">
        <v>160.9</v>
      </c>
      <c r="L10">
        <v>107.1</v>
      </c>
      <c r="M10">
        <v>103.1</v>
      </c>
      <c r="N10">
        <v>108.3</v>
      </c>
      <c r="O10">
        <v>110.7</v>
      </c>
      <c r="P10">
        <v>114.6</v>
      </c>
      <c r="Q10">
        <v>118.3</v>
      </c>
      <c r="R10">
        <v>112</v>
      </c>
      <c r="S10">
        <v>112.2</v>
      </c>
      <c r="T10">
        <v>110.4</v>
      </c>
      <c r="U10">
        <v>111.9</v>
      </c>
      <c r="V10">
        <v>109.7</v>
      </c>
      <c r="W10">
        <v>110.5</v>
      </c>
      <c r="X10">
        <v>109.6</v>
      </c>
      <c r="Y10">
        <v>108.1</v>
      </c>
      <c r="Z10">
        <v>109.9</v>
      </c>
      <c r="AA10">
        <v>107.5</v>
      </c>
      <c r="AB10">
        <v>110.6</v>
      </c>
      <c r="AC10">
        <v>106.8</v>
      </c>
      <c r="AD10">
        <v>109</v>
      </c>
      <c r="AE10">
        <v>113.7</v>
      </c>
    </row>
    <row r="11" spans="1:31" x14ac:dyDescent="0.25">
      <c r="A11" s="1">
        <v>41548</v>
      </c>
      <c r="B11" s="2" t="s">
        <v>31</v>
      </c>
      <c r="C11">
        <v>2013</v>
      </c>
      <c r="D11" s="2" t="s">
        <v>41</v>
      </c>
      <c r="E11">
        <v>117.1</v>
      </c>
      <c r="F11">
        <v>116.3</v>
      </c>
      <c r="G11">
        <v>113.3</v>
      </c>
      <c r="H11">
        <v>111.2</v>
      </c>
      <c r="I11">
        <v>105.7</v>
      </c>
      <c r="J11">
        <v>109.9</v>
      </c>
      <c r="K11">
        <v>171.2</v>
      </c>
      <c r="L11">
        <v>107.3</v>
      </c>
      <c r="M11">
        <v>102.7</v>
      </c>
      <c r="N11">
        <v>108.7</v>
      </c>
      <c r="O11">
        <v>111.2</v>
      </c>
      <c r="P11">
        <v>115.4</v>
      </c>
      <c r="Q11">
        <v>120.2</v>
      </c>
      <c r="R11">
        <v>112.5</v>
      </c>
      <c r="S11">
        <v>113.2</v>
      </c>
      <c r="T11">
        <v>111.2</v>
      </c>
      <c r="U11">
        <v>112.8</v>
      </c>
      <c r="V11">
        <v>110.5</v>
      </c>
      <c r="W11">
        <v>110.9</v>
      </c>
      <c r="X11">
        <v>110.3</v>
      </c>
      <c r="Y11">
        <v>108.6</v>
      </c>
      <c r="Z11">
        <v>109.5</v>
      </c>
      <c r="AA11">
        <v>108.1</v>
      </c>
      <c r="AB11">
        <v>110.8</v>
      </c>
      <c r="AC11">
        <v>107.4</v>
      </c>
      <c r="AD11">
        <v>109.2</v>
      </c>
      <c r="AE11">
        <v>114.8</v>
      </c>
    </row>
    <row r="12" spans="1:31" x14ac:dyDescent="0.25">
      <c r="A12" s="1">
        <v>41579</v>
      </c>
      <c r="B12" s="2" t="s">
        <v>31</v>
      </c>
      <c r="C12">
        <v>2013</v>
      </c>
      <c r="D12" s="2" t="s">
        <v>42</v>
      </c>
      <c r="E12">
        <v>118.1</v>
      </c>
      <c r="F12">
        <v>115.4</v>
      </c>
      <c r="G12">
        <v>118.7</v>
      </c>
      <c r="H12">
        <v>112.5</v>
      </c>
      <c r="I12">
        <v>106.8</v>
      </c>
      <c r="J12">
        <v>113.5</v>
      </c>
      <c r="K12">
        <v>183.1</v>
      </c>
      <c r="L12">
        <v>108.2</v>
      </c>
      <c r="M12">
        <v>102.2</v>
      </c>
      <c r="N12">
        <v>109.4</v>
      </c>
      <c r="O12">
        <v>111.8</v>
      </c>
      <c r="P12">
        <v>116.5</v>
      </c>
      <c r="Q12">
        <v>122.6</v>
      </c>
      <c r="R12">
        <v>113.1</v>
      </c>
      <c r="S12">
        <v>114.2</v>
      </c>
      <c r="T12">
        <v>111.9</v>
      </c>
      <c r="U12">
        <v>113.8</v>
      </c>
      <c r="V12">
        <v>111.1</v>
      </c>
      <c r="W12">
        <v>111.6</v>
      </c>
      <c r="X12">
        <v>111.1</v>
      </c>
      <c r="Y12">
        <v>109.3</v>
      </c>
      <c r="Z12">
        <v>109.5</v>
      </c>
      <c r="AA12">
        <v>108.6</v>
      </c>
      <c r="AB12">
        <v>111.2</v>
      </c>
      <c r="AC12">
        <v>108.1</v>
      </c>
      <c r="AD12">
        <v>109.7</v>
      </c>
      <c r="AE12">
        <v>116.3</v>
      </c>
    </row>
    <row r="13" spans="1:31" x14ac:dyDescent="0.25">
      <c r="A13" s="1">
        <v>41609</v>
      </c>
      <c r="B13" s="2" t="s">
        <v>31</v>
      </c>
      <c r="C13">
        <v>2013</v>
      </c>
      <c r="D13" s="2" t="s">
        <v>43</v>
      </c>
      <c r="E13">
        <v>119.1</v>
      </c>
      <c r="F13">
        <v>116.7</v>
      </c>
      <c r="G13">
        <v>123.5</v>
      </c>
      <c r="H13">
        <v>113.4</v>
      </c>
      <c r="I13">
        <v>107.3</v>
      </c>
      <c r="J13">
        <v>113.3</v>
      </c>
      <c r="K13">
        <v>145.4</v>
      </c>
      <c r="L13">
        <v>108.7</v>
      </c>
      <c r="M13">
        <v>101.5</v>
      </c>
      <c r="N13">
        <v>110.5</v>
      </c>
      <c r="O13">
        <v>112.1</v>
      </c>
      <c r="P13">
        <v>117.4</v>
      </c>
      <c r="Q13">
        <v>118.4</v>
      </c>
      <c r="R13">
        <v>114</v>
      </c>
      <c r="S13">
        <v>115.2</v>
      </c>
      <c r="T13">
        <v>112.7</v>
      </c>
      <c r="U13">
        <v>114.8</v>
      </c>
      <c r="V13">
        <v>110.7</v>
      </c>
      <c r="W13">
        <v>111.9</v>
      </c>
      <c r="X13">
        <v>111.7</v>
      </c>
      <c r="Y13">
        <v>109.7</v>
      </c>
      <c r="Z13">
        <v>109.8</v>
      </c>
      <c r="AA13">
        <v>109</v>
      </c>
      <c r="AB13">
        <v>111.5</v>
      </c>
      <c r="AC13">
        <v>107.9</v>
      </c>
      <c r="AD13">
        <v>110</v>
      </c>
      <c r="AE13">
        <v>114.5</v>
      </c>
    </row>
    <row r="14" spans="1:31" x14ac:dyDescent="0.25">
      <c r="A14" s="1">
        <v>41640</v>
      </c>
      <c r="B14" s="2" t="s">
        <v>31</v>
      </c>
      <c r="C14">
        <v>2014</v>
      </c>
      <c r="D14" s="2" t="s">
        <v>32</v>
      </c>
      <c r="E14">
        <v>119.6</v>
      </c>
      <c r="F14">
        <v>118.8</v>
      </c>
      <c r="G14">
        <v>124.1</v>
      </c>
      <c r="H14">
        <v>114.1</v>
      </c>
      <c r="I14">
        <v>106.8</v>
      </c>
      <c r="J14">
        <v>113.9</v>
      </c>
      <c r="K14">
        <v>122.2</v>
      </c>
      <c r="L14">
        <v>108.9</v>
      </c>
      <c r="M14">
        <v>100.2</v>
      </c>
      <c r="N14">
        <v>111</v>
      </c>
      <c r="O14">
        <v>112.3</v>
      </c>
      <c r="P14">
        <v>118.1</v>
      </c>
      <c r="Q14">
        <v>115.8</v>
      </c>
      <c r="R14">
        <v>114.5</v>
      </c>
      <c r="S14">
        <v>115.8</v>
      </c>
      <c r="T14">
        <v>113.2</v>
      </c>
      <c r="U14">
        <v>115.4</v>
      </c>
      <c r="V14">
        <v>111.6</v>
      </c>
      <c r="W14">
        <v>112.2</v>
      </c>
      <c r="X14">
        <v>112.3</v>
      </c>
      <c r="Y14">
        <v>110.3</v>
      </c>
      <c r="Z14">
        <v>110.7</v>
      </c>
      <c r="AA14">
        <v>109.7</v>
      </c>
      <c r="AB14">
        <v>111.6</v>
      </c>
      <c r="AC14">
        <v>108.2</v>
      </c>
      <c r="AD14">
        <v>110.6</v>
      </c>
      <c r="AE14">
        <v>113.6</v>
      </c>
    </row>
    <row r="15" spans="1:31" x14ac:dyDescent="0.25">
      <c r="A15" s="1">
        <v>41671</v>
      </c>
      <c r="B15" s="2" t="s">
        <v>31</v>
      </c>
      <c r="C15">
        <v>2014</v>
      </c>
      <c r="D15" s="2" t="s">
        <v>33</v>
      </c>
      <c r="E15">
        <v>120.2</v>
      </c>
      <c r="F15">
        <v>119.2</v>
      </c>
      <c r="G15">
        <v>122.5</v>
      </c>
      <c r="H15">
        <v>115.1</v>
      </c>
      <c r="I15">
        <v>106.6</v>
      </c>
      <c r="J15">
        <v>115.4</v>
      </c>
      <c r="K15">
        <v>114.5</v>
      </c>
      <c r="L15">
        <v>109.3</v>
      </c>
      <c r="M15">
        <v>99.2</v>
      </c>
      <c r="N15">
        <v>111.4</v>
      </c>
      <c r="O15">
        <v>112.6</v>
      </c>
      <c r="P15">
        <v>118.8</v>
      </c>
      <c r="Q15">
        <v>115.3</v>
      </c>
      <c r="R15">
        <v>114.7</v>
      </c>
      <c r="S15">
        <v>116.4</v>
      </c>
      <c r="T15">
        <v>113.3</v>
      </c>
      <c r="U15">
        <v>115.9</v>
      </c>
      <c r="V15">
        <v>112.5</v>
      </c>
      <c r="W15">
        <v>112.4</v>
      </c>
      <c r="X15">
        <v>112.8</v>
      </c>
      <c r="Y15">
        <v>110.7</v>
      </c>
      <c r="Z15">
        <v>111.1</v>
      </c>
      <c r="AA15">
        <v>110.1</v>
      </c>
      <c r="AB15">
        <v>111.8</v>
      </c>
      <c r="AC15">
        <v>108.7</v>
      </c>
      <c r="AD15">
        <v>110.9</v>
      </c>
      <c r="AE15">
        <v>113.6</v>
      </c>
    </row>
    <row r="16" spans="1:31" x14ac:dyDescent="0.25">
      <c r="A16" s="1">
        <v>41699</v>
      </c>
      <c r="B16" s="2" t="s">
        <v>31</v>
      </c>
      <c r="C16">
        <v>2014</v>
      </c>
      <c r="D16" s="2" t="s">
        <v>34</v>
      </c>
      <c r="E16">
        <v>120.7</v>
      </c>
      <c r="F16">
        <v>119.3</v>
      </c>
      <c r="G16">
        <v>121</v>
      </c>
      <c r="H16">
        <v>116.1</v>
      </c>
      <c r="I16">
        <v>106.9</v>
      </c>
      <c r="J16">
        <v>118.7</v>
      </c>
      <c r="K16">
        <v>116.3</v>
      </c>
      <c r="L16">
        <v>109.8</v>
      </c>
      <c r="M16">
        <v>99.6</v>
      </c>
      <c r="N16">
        <v>111.8</v>
      </c>
      <c r="O16">
        <v>112.7</v>
      </c>
      <c r="P16">
        <v>119.3</v>
      </c>
      <c r="Q16">
        <v>116.1</v>
      </c>
      <c r="R16">
        <v>115.2</v>
      </c>
      <c r="S16">
        <v>116.8</v>
      </c>
      <c r="T16">
        <v>113.7</v>
      </c>
      <c r="U16">
        <v>116.4</v>
      </c>
      <c r="V16">
        <v>113.2</v>
      </c>
      <c r="W16">
        <v>112.5</v>
      </c>
      <c r="X16">
        <v>113.2</v>
      </c>
      <c r="Y16">
        <v>111.2</v>
      </c>
      <c r="Z16">
        <v>111.4</v>
      </c>
      <c r="AA16">
        <v>110.6</v>
      </c>
      <c r="AB16">
        <v>112</v>
      </c>
      <c r="AC16">
        <v>109</v>
      </c>
      <c r="AD16">
        <v>111.3</v>
      </c>
      <c r="AE16">
        <v>114.2</v>
      </c>
    </row>
    <row r="17" spans="1:31" x14ac:dyDescent="0.25">
      <c r="A17" s="1">
        <v>41730</v>
      </c>
      <c r="B17" s="2" t="s">
        <v>31</v>
      </c>
      <c r="C17">
        <v>2014</v>
      </c>
      <c r="D17" s="2" t="s">
        <v>35</v>
      </c>
      <c r="E17">
        <v>120.9</v>
      </c>
      <c r="F17">
        <v>119.9</v>
      </c>
      <c r="G17">
        <v>116.2</v>
      </c>
      <c r="H17">
        <v>117</v>
      </c>
      <c r="I17">
        <v>107.3</v>
      </c>
      <c r="J17">
        <v>126.1</v>
      </c>
      <c r="K17">
        <v>120.7</v>
      </c>
      <c r="L17">
        <v>111</v>
      </c>
      <c r="M17">
        <v>101.8</v>
      </c>
      <c r="N17">
        <v>112.6</v>
      </c>
      <c r="O17">
        <v>113.2</v>
      </c>
      <c r="P17">
        <v>119.8</v>
      </c>
      <c r="Q17">
        <v>117.6</v>
      </c>
      <c r="R17">
        <v>116</v>
      </c>
      <c r="S17">
        <v>117.4</v>
      </c>
      <c r="T17">
        <v>114.6</v>
      </c>
      <c r="U17">
        <v>117</v>
      </c>
      <c r="V17">
        <v>113.9</v>
      </c>
      <c r="W17">
        <v>112.5</v>
      </c>
      <c r="X17">
        <v>113.6</v>
      </c>
      <c r="Y17">
        <v>111.5</v>
      </c>
      <c r="Z17">
        <v>111.2</v>
      </c>
      <c r="AA17">
        <v>110.9</v>
      </c>
      <c r="AB17">
        <v>112.7</v>
      </c>
      <c r="AC17">
        <v>109</v>
      </c>
      <c r="AD17">
        <v>111.5</v>
      </c>
      <c r="AE17">
        <v>115.1</v>
      </c>
    </row>
    <row r="18" spans="1:31" x14ac:dyDescent="0.25">
      <c r="A18" s="1">
        <v>41760</v>
      </c>
      <c r="B18" s="2" t="s">
        <v>31</v>
      </c>
      <c r="C18">
        <v>2014</v>
      </c>
      <c r="D18" s="2" t="s">
        <v>36</v>
      </c>
      <c r="E18">
        <v>121.1</v>
      </c>
      <c r="F18">
        <v>121.6</v>
      </c>
      <c r="G18">
        <v>115.9</v>
      </c>
      <c r="H18">
        <v>118.4</v>
      </c>
      <c r="I18">
        <v>107.7</v>
      </c>
      <c r="J18">
        <v>127.7</v>
      </c>
      <c r="K18">
        <v>125</v>
      </c>
      <c r="L18">
        <v>111.9</v>
      </c>
      <c r="M18">
        <v>102.8</v>
      </c>
      <c r="N18">
        <v>113.4</v>
      </c>
      <c r="O18">
        <v>113.7</v>
      </c>
      <c r="P18">
        <v>120.4</v>
      </c>
      <c r="Q18">
        <v>118.9</v>
      </c>
      <c r="R18">
        <v>116.8</v>
      </c>
      <c r="S18">
        <v>118</v>
      </c>
      <c r="T18">
        <v>115.2</v>
      </c>
      <c r="U18">
        <v>117.6</v>
      </c>
      <c r="V18">
        <v>114.3</v>
      </c>
      <c r="W18">
        <v>112.5</v>
      </c>
      <c r="X18">
        <v>114.1</v>
      </c>
      <c r="Y18">
        <v>111.8</v>
      </c>
      <c r="Z18">
        <v>111.3</v>
      </c>
      <c r="AA18">
        <v>111.2</v>
      </c>
      <c r="AB18">
        <v>113</v>
      </c>
      <c r="AC18">
        <v>109.1</v>
      </c>
      <c r="AD18">
        <v>111.8</v>
      </c>
      <c r="AE18">
        <v>115.8</v>
      </c>
    </row>
    <row r="19" spans="1:31" x14ac:dyDescent="0.25">
      <c r="A19" s="1">
        <v>41791</v>
      </c>
      <c r="B19" s="2" t="s">
        <v>31</v>
      </c>
      <c r="C19">
        <v>2014</v>
      </c>
      <c r="D19" s="2" t="s">
        <v>37</v>
      </c>
      <c r="E19">
        <v>121.5</v>
      </c>
      <c r="F19">
        <v>123.1</v>
      </c>
      <c r="G19">
        <v>115.8</v>
      </c>
      <c r="H19">
        <v>119.7</v>
      </c>
      <c r="I19">
        <v>107.8</v>
      </c>
      <c r="J19">
        <v>128.30000000000001</v>
      </c>
      <c r="K19">
        <v>132.1</v>
      </c>
      <c r="L19">
        <v>112.4</v>
      </c>
      <c r="M19">
        <v>102.9</v>
      </c>
      <c r="N19">
        <v>114.3</v>
      </c>
      <c r="O19">
        <v>114.2</v>
      </c>
      <c r="P19">
        <v>121.2</v>
      </c>
      <c r="Q19">
        <v>120.4</v>
      </c>
      <c r="R19">
        <v>117.8</v>
      </c>
      <c r="S19">
        <v>118.8</v>
      </c>
      <c r="T19">
        <v>115.6</v>
      </c>
      <c r="U19">
        <v>118.3</v>
      </c>
      <c r="V19">
        <v>113.9</v>
      </c>
      <c r="W19">
        <v>113.2</v>
      </c>
      <c r="X19">
        <v>114.6</v>
      </c>
      <c r="Y19">
        <v>112.3</v>
      </c>
      <c r="Z19">
        <v>111.8</v>
      </c>
      <c r="AA19">
        <v>111.6</v>
      </c>
      <c r="AB19">
        <v>114.8</v>
      </c>
      <c r="AC19">
        <v>108.3</v>
      </c>
      <c r="AD19">
        <v>112.3</v>
      </c>
      <c r="AE19">
        <v>116.7</v>
      </c>
    </row>
    <row r="20" spans="1:31" x14ac:dyDescent="0.25">
      <c r="A20" s="1">
        <v>41821</v>
      </c>
      <c r="B20" s="2" t="s">
        <v>31</v>
      </c>
      <c r="C20">
        <v>2014</v>
      </c>
      <c r="D20" s="2" t="s">
        <v>38</v>
      </c>
      <c r="E20">
        <v>122.4</v>
      </c>
      <c r="F20">
        <v>123.9</v>
      </c>
      <c r="G20">
        <v>117.8</v>
      </c>
      <c r="H20">
        <v>121</v>
      </c>
      <c r="I20">
        <v>107.9</v>
      </c>
      <c r="J20">
        <v>131.19999999999999</v>
      </c>
      <c r="K20">
        <v>157.69999999999999</v>
      </c>
      <c r="L20">
        <v>113.2</v>
      </c>
      <c r="M20">
        <v>104.1</v>
      </c>
      <c r="N20">
        <v>115.5</v>
      </c>
      <c r="O20">
        <v>114.8</v>
      </c>
      <c r="P20">
        <v>122.1</v>
      </c>
      <c r="Q20">
        <v>124.7</v>
      </c>
      <c r="R20">
        <v>118.8</v>
      </c>
      <c r="S20">
        <v>119.6</v>
      </c>
      <c r="T20">
        <v>116.3</v>
      </c>
      <c r="U20">
        <v>119.1</v>
      </c>
      <c r="V20">
        <v>114.8</v>
      </c>
      <c r="W20">
        <v>113.9</v>
      </c>
      <c r="X20">
        <v>115.2</v>
      </c>
      <c r="Y20">
        <v>112.7</v>
      </c>
      <c r="Z20">
        <v>113.1</v>
      </c>
      <c r="AA20">
        <v>112.1</v>
      </c>
      <c r="AB20">
        <v>116.8</v>
      </c>
      <c r="AC20">
        <v>109.2</v>
      </c>
      <c r="AD20">
        <v>113.3</v>
      </c>
      <c r="AE20">
        <v>119.2</v>
      </c>
    </row>
    <row r="21" spans="1:31" x14ac:dyDescent="0.25">
      <c r="A21" s="1">
        <v>41852</v>
      </c>
      <c r="B21" s="2" t="s">
        <v>31</v>
      </c>
      <c r="C21">
        <v>2014</v>
      </c>
      <c r="D21" s="2" t="s">
        <v>39</v>
      </c>
      <c r="E21">
        <v>122.7</v>
      </c>
      <c r="F21">
        <v>124.4</v>
      </c>
      <c r="G21">
        <v>117.3</v>
      </c>
      <c r="H21">
        <v>122</v>
      </c>
      <c r="I21">
        <v>108</v>
      </c>
      <c r="J21">
        <v>131.1</v>
      </c>
      <c r="K21">
        <v>168.2</v>
      </c>
      <c r="L21">
        <v>114.5</v>
      </c>
      <c r="M21">
        <v>104.3</v>
      </c>
      <c r="N21">
        <v>117.1</v>
      </c>
      <c r="O21">
        <v>115.2</v>
      </c>
      <c r="P21">
        <v>123.1</v>
      </c>
      <c r="Q21">
        <v>126.6</v>
      </c>
      <c r="R21">
        <v>119.9</v>
      </c>
      <c r="S21">
        <v>120</v>
      </c>
      <c r="T21">
        <v>116.8</v>
      </c>
      <c r="U21">
        <v>119.6</v>
      </c>
      <c r="V21">
        <v>115.5</v>
      </c>
      <c r="W21">
        <v>114</v>
      </c>
      <c r="X21">
        <v>115.6</v>
      </c>
      <c r="Y21">
        <v>113.3</v>
      </c>
      <c r="Z21">
        <v>112.8</v>
      </c>
      <c r="AA21">
        <v>112.6</v>
      </c>
      <c r="AB21">
        <v>118</v>
      </c>
      <c r="AC21">
        <v>109.9</v>
      </c>
      <c r="AD21">
        <v>113.7</v>
      </c>
      <c r="AE21">
        <v>120.3</v>
      </c>
    </row>
    <row r="22" spans="1:31" x14ac:dyDescent="0.25">
      <c r="A22" s="1">
        <v>41883</v>
      </c>
      <c r="B22" s="2" t="s">
        <v>31</v>
      </c>
      <c r="C22">
        <v>2014</v>
      </c>
      <c r="D22" s="2" t="s">
        <v>40</v>
      </c>
      <c r="E22">
        <v>122.9</v>
      </c>
      <c r="F22">
        <v>123.5</v>
      </c>
      <c r="G22">
        <v>117.3</v>
      </c>
      <c r="H22">
        <v>122.7</v>
      </c>
      <c r="I22">
        <v>107.9</v>
      </c>
      <c r="J22">
        <v>127.3</v>
      </c>
      <c r="K22">
        <v>162.1</v>
      </c>
      <c r="L22">
        <v>115.6</v>
      </c>
      <c r="M22">
        <v>103.8</v>
      </c>
      <c r="N22">
        <v>117.6</v>
      </c>
      <c r="O22">
        <v>115.8</v>
      </c>
      <c r="P22">
        <v>123.8</v>
      </c>
      <c r="Q22">
        <v>125.8</v>
      </c>
      <c r="R22">
        <v>120.8</v>
      </c>
      <c r="S22">
        <v>120.7</v>
      </c>
      <c r="T22">
        <v>117.2</v>
      </c>
      <c r="U22">
        <v>120.1</v>
      </c>
      <c r="V22">
        <v>116.1</v>
      </c>
      <c r="W22">
        <v>114.3</v>
      </c>
      <c r="X22">
        <v>116.1</v>
      </c>
      <c r="Y22">
        <v>113.7</v>
      </c>
      <c r="Z22">
        <v>112</v>
      </c>
      <c r="AA22">
        <v>113.1</v>
      </c>
      <c r="AB22">
        <v>118.6</v>
      </c>
      <c r="AC22">
        <v>109.5</v>
      </c>
      <c r="AD22">
        <v>113.7</v>
      </c>
      <c r="AE22">
        <v>120.1</v>
      </c>
    </row>
    <row r="23" spans="1:31" x14ac:dyDescent="0.25">
      <c r="A23" s="1">
        <v>41913</v>
      </c>
      <c r="B23" s="2" t="s">
        <v>31</v>
      </c>
      <c r="C23">
        <v>2014</v>
      </c>
      <c r="D23" s="2" t="s">
        <v>41</v>
      </c>
      <c r="E23">
        <v>123.2</v>
      </c>
      <c r="F23">
        <v>123.8</v>
      </c>
      <c r="G23">
        <v>118.1</v>
      </c>
      <c r="H23">
        <v>123.2</v>
      </c>
      <c r="I23">
        <v>107.9</v>
      </c>
      <c r="J23">
        <v>126.4</v>
      </c>
      <c r="K23">
        <v>156.80000000000001</v>
      </c>
      <c r="L23">
        <v>116.1</v>
      </c>
      <c r="M23">
        <v>103.1</v>
      </c>
      <c r="N23">
        <v>118.1</v>
      </c>
      <c r="O23">
        <v>116.1</v>
      </c>
      <c r="P23">
        <v>124.5</v>
      </c>
      <c r="Q23">
        <v>125.4</v>
      </c>
      <c r="R23">
        <v>121.1</v>
      </c>
      <c r="S23">
        <v>121.5</v>
      </c>
      <c r="T23">
        <v>118.1</v>
      </c>
      <c r="U23">
        <v>121</v>
      </c>
      <c r="V23">
        <v>116.7</v>
      </c>
      <c r="W23">
        <v>114.7</v>
      </c>
      <c r="X23">
        <v>116.7</v>
      </c>
      <c r="Y23">
        <v>114.3</v>
      </c>
      <c r="Z23">
        <v>111.8</v>
      </c>
      <c r="AA23">
        <v>113.3</v>
      </c>
      <c r="AB23">
        <v>118.8</v>
      </c>
      <c r="AC23">
        <v>109.6</v>
      </c>
      <c r="AD23">
        <v>113.9</v>
      </c>
      <c r="AE23">
        <v>120.1</v>
      </c>
    </row>
    <row r="24" spans="1:31" x14ac:dyDescent="0.25">
      <c r="A24" s="1">
        <v>41944</v>
      </c>
      <c r="B24" s="2" t="s">
        <v>31</v>
      </c>
      <c r="C24">
        <v>2014</v>
      </c>
      <c r="D24" s="2" t="s">
        <v>42</v>
      </c>
      <c r="E24">
        <v>123.3</v>
      </c>
      <c r="F24">
        <v>123.7</v>
      </c>
      <c r="G24">
        <v>121</v>
      </c>
      <c r="H24">
        <v>124.2</v>
      </c>
      <c r="I24">
        <v>107.8</v>
      </c>
      <c r="J24">
        <v>125.7</v>
      </c>
      <c r="K24">
        <v>152.4</v>
      </c>
      <c r="L24">
        <v>117.2</v>
      </c>
      <c r="M24">
        <v>102.1</v>
      </c>
      <c r="N24">
        <v>118.7</v>
      </c>
      <c r="O24">
        <v>116.4</v>
      </c>
      <c r="P24">
        <v>125.6</v>
      </c>
      <c r="Q24">
        <v>125.1</v>
      </c>
      <c r="R24">
        <v>122.1</v>
      </c>
      <c r="S24">
        <v>122.1</v>
      </c>
      <c r="T24">
        <v>118.4</v>
      </c>
      <c r="U24">
        <v>121.6</v>
      </c>
      <c r="V24">
        <v>117.1</v>
      </c>
      <c r="W24">
        <v>115.5</v>
      </c>
      <c r="X24">
        <v>117.3</v>
      </c>
      <c r="Y24">
        <v>114.8</v>
      </c>
      <c r="Z24">
        <v>110.8</v>
      </c>
      <c r="AA24">
        <v>113.7</v>
      </c>
      <c r="AB24">
        <v>119</v>
      </c>
      <c r="AC24">
        <v>109.1</v>
      </c>
      <c r="AD24">
        <v>113.8</v>
      </c>
      <c r="AE24">
        <v>120.1</v>
      </c>
    </row>
    <row r="25" spans="1:31" x14ac:dyDescent="0.25">
      <c r="A25" s="1">
        <v>41974</v>
      </c>
      <c r="B25" s="2" t="s">
        <v>31</v>
      </c>
      <c r="C25">
        <v>2014</v>
      </c>
      <c r="D25" s="2" t="s">
        <v>43</v>
      </c>
      <c r="E25">
        <v>122.9</v>
      </c>
      <c r="F25">
        <v>123.2</v>
      </c>
      <c r="G25">
        <v>123.5</v>
      </c>
      <c r="H25">
        <v>124.5</v>
      </c>
      <c r="I25">
        <v>107.6</v>
      </c>
      <c r="J25">
        <v>125.7</v>
      </c>
      <c r="K25">
        <v>140.5</v>
      </c>
      <c r="L25">
        <v>117.6</v>
      </c>
      <c r="M25">
        <v>100.6</v>
      </c>
      <c r="N25">
        <v>119.1</v>
      </c>
      <c r="O25">
        <v>116.8</v>
      </c>
      <c r="P25">
        <v>126.1</v>
      </c>
      <c r="Q25">
        <v>123.6</v>
      </c>
      <c r="R25">
        <v>123</v>
      </c>
      <c r="S25">
        <v>122.6</v>
      </c>
      <c r="T25">
        <v>118.6</v>
      </c>
      <c r="U25">
        <v>122</v>
      </c>
      <c r="V25">
        <v>116.5</v>
      </c>
      <c r="W25">
        <v>115.7</v>
      </c>
      <c r="X25">
        <v>117.5</v>
      </c>
      <c r="Y25">
        <v>115.1</v>
      </c>
      <c r="Z25">
        <v>110.1</v>
      </c>
      <c r="AA25">
        <v>113.9</v>
      </c>
      <c r="AB25">
        <v>119.5</v>
      </c>
      <c r="AC25">
        <v>109.8</v>
      </c>
      <c r="AD25">
        <v>113.8</v>
      </c>
      <c r="AE25">
        <v>119.4</v>
      </c>
    </row>
    <row r="26" spans="1:31" x14ac:dyDescent="0.25">
      <c r="A26" s="1">
        <v>42005</v>
      </c>
      <c r="B26" s="2" t="s">
        <v>31</v>
      </c>
      <c r="C26">
        <v>2015</v>
      </c>
      <c r="D26" s="2" t="s">
        <v>32</v>
      </c>
      <c r="E26">
        <v>123.4</v>
      </c>
      <c r="F26">
        <v>123.9</v>
      </c>
      <c r="G26">
        <v>123.8</v>
      </c>
      <c r="H26">
        <v>125</v>
      </c>
      <c r="I26">
        <v>108.5</v>
      </c>
      <c r="J26">
        <v>126.2</v>
      </c>
      <c r="K26">
        <v>133</v>
      </c>
      <c r="L26">
        <v>119.1</v>
      </c>
      <c r="M26">
        <v>99</v>
      </c>
      <c r="N26">
        <v>120.3</v>
      </c>
      <c r="O26">
        <v>117.3</v>
      </c>
      <c r="P26">
        <v>126.7</v>
      </c>
      <c r="Q26">
        <v>123.1</v>
      </c>
      <c r="R26">
        <v>124</v>
      </c>
      <c r="S26">
        <v>123.1</v>
      </c>
      <c r="T26">
        <v>119.3</v>
      </c>
      <c r="U26">
        <v>122.5</v>
      </c>
      <c r="V26">
        <v>117.3</v>
      </c>
      <c r="W26">
        <v>116.5</v>
      </c>
      <c r="X26">
        <v>118.1</v>
      </c>
      <c r="Y26">
        <v>115.5</v>
      </c>
      <c r="Z26">
        <v>109.4</v>
      </c>
      <c r="AA26">
        <v>114.3</v>
      </c>
      <c r="AB26">
        <v>119.7</v>
      </c>
      <c r="AC26">
        <v>110.7</v>
      </c>
      <c r="AD26">
        <v>114</v>
      </c>
      <c r="AE26">
        <v>119.5</v>
      </c>
    </row>
    <row r="27" spans="1:31" x14ac:dyDescent="0.25">
      <c r="A27" s="1">
        <v>42036</v>
      </c>
      <c r="B27" s="2" t="s">
        <v>31</v>
      </c>
      <c r="C27">
        <v>2015</v>
      </c>
      <c r="D27" s="2" t="s">
        <v>33</v>
      </c>
      <c r="E27">
        <v>123.7</v>
      </c>
      <c r="F27">
        <v>125.1</v>
      </c>
      <c r="G27">
        <v>121.1</v>
      </c>
      <c r="H27">
        <v>125.7</v>
      </c>
      <c r="I27">
        <v>109.1</v>
      </c>
      <c r="J27">
        <v>125.8</v>
      </c>
      <c r="K27">
        <v>129.4</v>
      </c>
      <c r="L27">
        <v>120.9</v>
      </c>
      <c r="M27">
        <v>98.3</v>
      </c>
      <c r="N27">
        <v>121.6</v>
      </c>
      <c r="O27">
        <v>118</v>
      </c>
      <c r="P27">
        <v>127.6</v>
      </c>
      <c r="Q27">
        <v>123.1</v>
      </c>
      <c r="R27">
        <v>125.2</v>
      </c>
      <c r="S27">
        <v>123.8</v>
      </c>
      <c r="T27">
        <v>120.1</v>
      </c>
      <c r="U27">
        <v>123.3</v>
      </c>
      <c r="V27">
        <v>118.1</v>
      </c>
      <c r="W27">
        <v>117.7</v>
      </c>
      <c r="X27">
        <v>118.7</v>
      </c>
      <c r="Y27">
        <v>116.3</v>
      </c>
      <c r="Z27">
        <v>108.7</v>
      </c>
      <c r="AA27">
        <v>114.9</v>
      </c>
      <c r="AB27">
        <v>119.7</v>
      </c>
      <c r="AC27">
        <v>111.2</v>
      </c>
      <c r="AD27">
        <v>114.1</v>
      </c>
      <c r="AE27">
        <v>119.7</v>
      </c>
    </row>
    <row r="28" spans="1:31" x14ac:dyDescent="0.25">
      <c r="A28" s="1">
        <v>42064</v>
      </c>
      <c r="B28" s="2" t="s">
        <v>31</v>
      </c>
      <c r="C28">
        <v>2015</v>
      </c>
      <c r="D28" s="2" t="s">
        <v>34</v>
      </c>
      <c r="E28">
        <v>123.5</v>
      </c>
      <c r="F28">
        <v>125.4</v>
      </c>
      <c r="G28">
        <v>116.8</v>
      </c>
      <c r="H28">
        <v>126</v>
      </c>
      <c r="I28">
        <v>109.2</v>
      </c>
      <c r="J28">
        <v>127.6</v>
      </c>
      <c r="K28">
        <v>129.19999999999999</v>
      </c>
      <c r="L28">
        <v>122.4</v>
      </c>
      <c r="M28">
        <v>97</v>
      </c>
      <c r="N28">
        <v>122.1</v>
      </c>
      <c r="O28">
        <v>118.1</v>
      </c>
      <c r="P28">
        <v>128.4</v>
      </c>
      <c r="Q28">
        <v>123.4</v>
      </c>
      <c r="R28">
        <v>125.8</v>
      </c>
      <c r="S28">
        <v>124.3</v>
      </c>
      <c r="T28">
        <v>120.4</v>
      </c>
      <c r="U28">
        <v>123.7</v>
      </c>
      <c r="V28">
        <v>118.6</v>
      </c>
      <c r="W28">
        <v>118.3</v>
      </c>
      <c r="X28">
        <v>119.2</v>
      </c>
      <c r="Y28">
        <v>116.7</v>
      </c>
      <c r="Z28">
        <v>109.9</v>
      </c>
      <c r="AA28">
        <v>115.4</v>
      </c>
      <c r="AB28">
        <v>120.1</v>
      </c>
      <c r="AC28">
        <v>111</v>
      </c>
      <c r="AD28">
        <v>114.7</v>
      </c>
      <c r="AE28">
        <v>120.2</v>
      </c>
    </row>
    <row r="29" spans="1:31" x14ac:dyDescent="0.25">
      <c r="A29" s="1">
        <v>42095</v>
      </c>
      <c r="B29" s="2" t="s">
        <v>31</v>
      </c>
      <c r="C29">
        <v>2015</v>
      </c>
      <c r="D29" s="2" t="s">
        <v>35</v>
      </c>
      <c r="E29">
        <v>123.5</v>
      </c>
      <c r="F29">
        <v>126.4</v>
      </c>
      <c r="G29">
        <v>114.4</v>
      </c>
      <c r="H29">
        <v>126.6</v>
      </c>
      <c r="I29">
        <v>109.2</v>
      </c>
      <c r="J29">
        <v>132.5</v>
      </c>
      <c r="K29">
        <v>128.6</v>
      </c>
      <c r="L29">
        <v>124.8</v>
      </c>
      <c r="M29">
        <v>95.7</v>
      </c>
      <c r="N29">
        <v>122.4</v>
      </c>
      <c r="O29">
        <v>118.5</v>
      </c>
      <c r="P29">
        <v>129.1</v>
      </c>
      <c r="Q29">
        <v>124</v>
      </c>
      <c r="R29">
        <v>126.9</v>
      </c>
      <c r="S29">
        <v>124.7</v>
      </c>
      <c r="T29">
        <v>120.8</v>
      </c>
      <c r="U29">
        <v>124.1</v>
      </c>
      <c r="V29">
        <v>119.2</v>
      </c>
      <c r="W29">
        <v>118.7</v>
      </c>
      <c r="X29">
        <v>119.7</v>
      </c>
      <c r="Y29">
        <v>117.1</v>
      </c>
      <c r="Z29">
        <v>110.1</v>
      </c>
      <c r="AA29">
        <v>115.9</v>
      </c>
      <c r="AB29">
        <v>121</v>
      </c>
      <c r="AC29">
        <v>111.7</v>
      </c>
      <c r="AD29">
        <v>115.1</v>
      </c>
      <c r="AE29">
        <v>120.7</v>
      </c>
    </row>
    <row r="30" spans="1:31" x14ac:dyDescent="0.25">
      <c r="A30" s="1">
        <v>42125</v>
      </c>
      <c r="B30" s="2" t="s">
        <v>31</v>
      </c>
      <c r="C30">
        <v>2015</v>
      </c>
      <c r="D30" s="2" t="s">
        <v>36</v>
      </c>
      <c r="E30">
        <v>123.6</v>
      </c>
      <c r="F30">
        <v>128</v>
      </c>
      <c r="G30">
        <v>115</v>
      </c>
      <c r="H30">
        <v>127.3</v>
      </c>
      <c r="I30">
        <v>109.8</v>
      </c>
      <c r="J30">
        <v>132.6</v>
      </c>
      <c r="K30">
        <v>130.9</v>
      </c>
      <c r="L30">
        <v>130.5</v>
      </c>
      <c r="M30">
        <v>95.3</v>
      </c>
      <c r="N30">
        <v>123.4</v>
      </c>
      <c r="O30">
        <v>119.2</v>
      </c>
      <c r="P30">
        <v>129.80000000000001</v>
      </c>
      <c r="Q30">
        <v>125</v>
      </c>
      <c r="R30">
        <v>127.9</v>
      </c>
      <c r="S30">
        <v>125.4</v>
      </c>
      <c r="T30">
        <v>121.3</v>
      </c>
      <c r="U30">
        <v>124.7</v>
      </c>
      <c r="V30">
        <v>119.6</v>
      </c>
      <c r="W30">
        <v>119.2</v>
      </c>
      <c r="X30">
        <v>120.2</v>
      </c>
      <c r="Y30">
        <v>117.7</v>
      </c>
      <c r="Z30">
        <v>112</v>
      </c>
      <c r="AA30">
        <v>116.3</v>
      </c>
      <c r="AB30">
        <v>121.4</v>
      </c>
      <c r="AC30">
        <v>112.3</v>
      </c>
      <c r="AD30">
        <v>116.1</v>
      </c>
      <c r="AE30">
        <v>121.6</v>
      </c>
    </row>
    <row r="31" spans="1:31" x14ac:dyDescent="0.25">
      <c r="A31" s="1">
        <v>42156</v>
      </c>
      <c r="B31" s="2" t="s">
        <v>31</v>
      </c>
      <c r="C31">
        <v>2015</v>
      </c>
      <c r="D31" s="2" t="s">
        <v>37</v>
      </c>
      <c r="E31">
        <v>123.9</v>
      </c>
      <c r="F31">
        <v>131.80000000000001</v>
      </c>
      <c r="G31">
        <v>121.6</v>
      </c>
      <c r="H31">
        <v>128.19999999999999</v>
      </c>
      <c r="I31">
        <v>111.1</v>
      </c>
      <c r="J31">
        <v>132.80000000000001</v>
      </c>
      <c r="K31">
        <v>139.1</v>
      </c>
      <c r="L31">
        <v>137.4</v>
      </c>
      <c r="M31">
        <v>94.1</v>
      </c>
      <c r="N31">
        <v>125.5</v>
      </c>
      <c r="O31">
        <v>119.8</v>
      </c>
      <c r="P31">
        <v>130.9</v>
      </c>
      <c r="Q31">
        <v>127.3</v>
      </c>
      <c r="R31">
        <v>129.19999999999999</v>
      </c>
      <c r="S31">
        <v>126.4</v>
      </c>
      <c r="T31">
        <v>122</v>
      </c>
      <c r="U31">
        <v>125.7</v>
      </c>
      <c r="V31">
        <v>119</v>
      </c>
      <c r="W31">
        <v>119.8</v>
      </c>
      <c r="X31">
        <v>121.1</v>
      </c>
      <c r="Y31">
        <v>118.5</v>
      </c>
      <c r="Z31">
        <v>112.9</v>
      </c>
      <c r="AA31">
        <v>116.9</v>
      </c>
      <c r="AB31">
        <v>123.1</v>
      </c>
      <c r="AC31">
        <v>112.8</v>
      </c>
      <c r="AD31">
        <v>117</v>
      </c>
      <c r="AE31">
        <v>123</v>
      </c>
    </row>
    <row r="32" spans="1:31" x14ac:dyDescent="0.25">
      <c r="A32" s="1">
        <v>42186</v>
      </c>
      <c r="B32" s="2" t="s">
        <v>31</v>
      </c>
      <c r="C32">
        <v>2015</v>
      </c>
      <c r="D32" s="2" t="s">
        <v>38</v>
      </c>
      <c r="E32">
        <v>123.7</v>
      </c>
      <c r="F32">
        <v>132.5</v>
      </c>
      <c r="G32">
        <v>121</v>
      </c>
      <c r="H32">
        <v>128.30000000000001</v>
      </c>
      <c r="I32">
        <v>110.9</v>
      </c>
      <c r="J32">
        <v>133.1</v>
      </c>
      <c r="K32">
        <v>145.1</v>
      </c>
      <c r="L32">
        <v>139.1</v>
      </c>
      <c r="M32">
        <v>91.3</v>
      </c>
      <c r="N32">
        <v>126.1</v>
      </c>
      <c r="O32">
        <v>119.9</v>
      </c>
      <c r="P32">
        <v>131.4</v>
      </c>
      <c r="Q32">
        <v>128.19999999999999</v>
      </c>
      <c r="R32">
        <v>130.4</v>
      </c>
      <c r="S32">
        <v>126.7</v>
      </c>
      <c r="T32">
        <v>122.3</v>
      </c>
      <c r="U32">
        <v>126.1</v>
      </c>
      <c r="V32">
        <v>119.9</v>
      </c>
      <c r="W32">
        <v>120.1</v>
      </c>
      <c r="X32">
        <v>121.3</v>
      </c>
      <c r="Y32">
        <v>119</v>
      </c>
      <c r="Z32">
        <v>112.7</v>
      </c>
      <c r="AA32">
        <v>117.2</v>
      </c>
      <c r="AB32">
        <v>124.4</v>
      </c>
      <c r="AC32">
        <v>112.3</v>
      </c>
      <c r="AD32">
        <v>117.2</v>
      </c>
      <c r="AE32">
        <v>123.6</v>
      </c>
    </row>
    <row r="33" spans="1:31" x14ac:dyDescent="0.25">
      <c r="A33" s="1">
        <v>42217</v>
      </c>
      <c r="B33" s="2" t="s">
        <v>31</v>
      </c>
      <c r="C33">
        <v>2015</v>
      </c>
      <c r="D33" s="2" t="s">
        <v>39</v>
      </c>
      <c r="E33">
        <v>124.2</v>
      </c>
      <c r="F33">
        <v>131.4</v>
      </c>
      <c r="G33">
        <v>120.1</v>
      </c>
      <c r="H33">
        <v>128.5</v>
      </c>
      <c r="I33">
        <v>111.4</v>
      </c>
      <c r="J33">
        <v>132.30000000000001</v>
      </c>
      <c r="K33">
        <v>157.6</v>
      </c>
      <c r="L33">
        <v>144</v>
      </c>
      <c r="M33">
        <v>90.5</v>
      </c>
      <c r="N33">
        <v>126.8</v>
      </c>
      <c r="O33">
        <v>120.4</v>
      </c>
      <c r="P33">
        <v>132.1</v>
      </c>
      <c r="Q33">
        <v>130.30000000000001</v>
      </c>
      <c r="R33">
        <v>131.19999999999999</v>
      </c>
      <c r="S33">
        <v>127.2</v>
      </c>
      <c r="T33">
        <v>122.9</v>
      </c>
      <c r="U33">
        <v>126.6</v>
      </c>
      <c r="V33">
        <v>120.9</v>
      </c>
      <c r="W33">
        <v>120.6</v>
      </c>
      <c r="X33">
        <v>122</v>
      </c>
      <c r="Y33">
        <v>119.4</v>
      </c>
      <c r="Z33">
        <v>111.7</v>
      </c>
      <c r="AA33">
        <v>117.8</v>
      </c>
      <c r="AB33">
        <v>125.1</v>
      </c>
      <c r="AC33">
        <v>112.3</v>
      </c>
      <c r="AD33">
        <v>117.2</v>
      </c>
      <c r="AE33">
        <v>124.8</v>
      </c>
    </row>
    <row r="34" spans="1:31" x14ac:dyDescent="0.25">
      <c r="A34" s="1">
        <v>42248</v>
      </c>
      <c r="B34" s="2" t="s">
        <v>31</v>
      </c>
      <c r="C34">
        <v>2015</v>
      </c>
      <c r="D34" s="2" t="s">
        <v>40</v>
      </c>
      <c r="E34">
        <v>124.6</v>
      </c>
      <c r="F34">
        <v>130.4</v>
      </c>
      <c r="G34">
        <v>118.7</v>
      </c>
      <c r="H34">
        <v>128.9</v>
      </c>
      <c r="I34">
        <v>111.9</v>
      </c>
      <c r="J34">
        <v>128.4</v>
      </c>
      <c r="K34">
        <v>162.19999999999999</v>
      </c>
      <c r="L34">
        <v>150</v>
      </c>
      <c r="M34">
        <v>90.4</v>
      </c>
      <c r="N34">
        <v>128.4</v>
      </c>
      <c r="O34">
        <v>120.7</v>
      </c>
      <c r="P34">
        <v>132.5</v>
      </c>
      <c r="Q34">
        <v>131.19999999999999</v>
      </c>
      <c r="R34">
        <v>132</v>
      </c>
      <c r="S34">
        <v>127.9</v>
      </c>
      <c r="T34">
        <v>123.4</v>
      </c>
      <c r="U34">
        <v>127.2</v>
      </c>
      <c r="V34">
        <v>121.6</v>
      </c>
      <c r="W34">
        <v>120.4</v>
      </c>
      <c r="X34">
        <v>122.6</v>
      </c>
      <c r="Y34">
        <v>119.8</v>
      </c>
      <c r="Z34">
        <v>111.3</v>
      </c>
      <c r="AA34">
        <v>118.3</v>
      </c>
      <c r="AB34">
        <v>125.7</v>
      </c>
      <c r="AC34">
        <v>113.4</v>
      </c>
      <c r="AD34">
        <v>117.5</v>
      </c>
      <c r="AE34">
        <v>125.4</v>
      </c>
    </row>
    <row r="35" spans="1:31" x14ac:dyDescent="0.25">
      <c r="A35" s="1">
        <v>42278</v>
      </c>
      <c r="B35" s="2" t="s">
        <v>31</v>
      </c>
      <c r="C35">
        <v>2015</v>
      </c>
      <c r="D35" s="2" t="s">
        <v>41</v>
      </c>
      <c r="E35">
        <v>125</v>
      </c>
      <c r="F35">
        <v>129.80000000000001</v>
      </c>
      <c r="G35">
        <v>118.9</v>
      </c>
      <c r="H35">
        <v>129.1</v>
      </c>
      <c r="I35">
        <v>113.3</v>
      </c>
      <c r="J35">
        <v>129</v>
      </c>
      <c r="K35">
        <v>160.4</v>
      </c>
      <c r="L35">
        <v>165.3</v>
      </c>
      <c r="M35">
        <v>92.3</v>
      </c>
      <c r="N35">
        <v>129.69999999999999</v>
      </c>
      <c r="O35">
        <v>121.1</v>
      </c>
      <c r="P35">
        <v>133</v>
      </c>
      <c r="Q35">
        <v>132.1</v>
      </c>
      <c r="R35">
        <v>132.5</v>
      </c>
      <c r="S35">
        <v>128.5</v>
      </c>
      <c r="T35">
        <v>123.8</v>
      </c>
      <c r="U35">
        <v>127.8</v>
      </c>
      <c r="V35">
        <v>122.4</v>
      </c>
      <c r="W35">
        <v>120.8</v>
      </c>
      <c r="X35">
        <v>123</v>
      </c>
      <c r="Y35">
        <v>120.4</v>
      </c>
      <c r="Z35">
        <v>111.4</v>
      </c>
      <c r="AA35">
        <v>118.7</v>
      </c>
      <c r="AB35">
        <v>125.9</v>
      </c>
      <c r="AC35">
        <v>113.9</v>
      </c>
      <c r="AD35">
        <v>117.9</v>
      </c>
      <c r="AE35">
        <v>126.1</v>
      </c>
    </row>
    <row r="36" spans="1:31" x14ac:dyDescent="0.25">
      <c r="A36" s="1">
        <v>42309</v>
      </c>
      <c r="B36" s="2" t="s">
        <v>31</v>
      </c>
      <c r="C36">
        <v>2015</v>
      </c>
      <c r="D36" s="2" t="s">
        <v>42</v>
      </c>
      <c r="E36">
        <v>125.4</v>
      </c>
      <c r="F36">
        <v>130.30000000000001</v>
      </c>
      <c r="G36">
        <v>121.6</v>
      </c>
      <c r="H36">
        <v>129.19999999999999</v>
      </c>
      <c r="I36">
        <v>114.9</v>
      </c>
      <c r="J36">
        <v>128.19999999999999</v>
      </c>
      <c r="K36">
        <v>158.4</v>
      </c>
      <c r="L36">
        <v>171.2</v>
      </c>
      <c r="M36">
        <v>93.3</v>
      </c>
      <c r="N36">
        <v>131.19999999999999</v>
      </c>
      <c r="O36">
        <v>121.7</v>
      </c>
      <c r="P36">
        <v>134</v>
      </c>
      <c r="Q36">
        <v>132.69999999999999</v>
      </c>
      <c r="R36">
        <v>133.6</v>
      </c>
      <c r="S36">
        <v>129.30000000000001</v>
      </c>
      <c r="T36">
        <v>124.5</v>
      </c>
      <c r="U36">
        <v>128.6</v>
      </c>
      <c r="V36">
        <v>122.9</v>
      </c>
      <c r="W36">
        <v>121.6</v>
      </c>
      <c r="X36">
        <v>123.4</v>
      </c>
      <c r="Y36">
        <v>120.9</v>
      </c>
      <c r="Z36">
        <v>111.5</v>
      </c>
      <c r="AA36">
        <v>119.2</v>
      </c>
      <c r="AB36">
        <v>126.3</v>
      </c>
      <c r="AC36">
        <v>113.8</v>
      </c>
      <c r="AD36">
        <v>118.1</v>
      </c>
      <c r="AE36">
        <v>126.6</v>
      </c>
    </row>
    <row r="37" spans="1:31" x14ac:dyDescent="0.25">
      <c r="A37" s="1">
        <v>42339</v>
      </c>
      <c r="B37" s="2" t="s">
        <v>31</v>
      </c>
      <c r="C37">
        <v>2015</v>
      </c>
      <c r="D37" s="2" t="s">
        <v>43</v>
      </c>
      <c r="E37">
        <v>125.7</v>
      </c>
      <c r="F37">
        <v>131.4</v>
      </c>
      <c r="G37">
        <v>124.8</v>
      </c>
      <c r="H37">
        <v>129.4</v>
      </c>
      <c r="I37">
        <v>115.3</v>
      </c>
      <c r="J37">
        <v>126.6</v>
      </c>
      <c r="K37">
        <v>146.69999999999999</v>
      </c>
      <c r="L37">
        <v>171.5</v>
      </c>
      <c r="M37">
        <v>94.5</v>
      </c>
      <c r="N37">
        <v>132.1</v>
      </c>
      <c r="O37">
        <v>122</v>
      </c>
      <c r="P37">
        <v>134.69999999999999</v>
      </c>
      <c r="Q37">
        <v>131.4</v>
      </c>
      <c r="R37">
        <v>134.5</v>
      </c>
      <c r="S37">
        <v>129.69999999999999</v>
      </c>
      <c r="T37">
        <v>124.8</v>
      </c>
      <c r="U37">
        <v>129</v>
      </c>
      <c r="V37">
        <v>122.4</v>
      </c>
      <c r="W37">
        <v>122</v>
      </c>
      <c r="X37">
        <v>123.6</v>
      </c>
      <c r="Y37">
        <v>121.4</v>
      </c>
      <c r="Z37">
        <v>111.5</v>
      </c>
      <c r="AA37">
        <v>119.6</v>
      </c>
      <c r="AB37">
        <v>126.2</v>
      </c>
      <c r="AC37">
        <v>113.7</v>
      </c>
      <c r="AD37">
        <v>118.3</v>
      </c>
      <c r="AE37">
        <v>126.1</v>
      </c>
    </row>
    <row r="38" spans="1:31" x14ac:dyDescent="0.25">
      <c r="A38" s="1">
        <v>42370</v>
      </c>
      <c r="B38" s="2" t="s">
        <v>31</v>
      </c>
      <c r="C38">
        <v>2016</v>
      </c>
      <c r="D38" s="2" t="s">
        <v>32</v>
      </c>
      <c r="E38">
        <v>126.1</v>
      </c>
      <c r="F38">
        <v>134.1</v>
      </c>
      <c r="G38">
        <v>128.6</v>
      </c>
      <c r="H38">
        <v>129.9</v>
      </c>
      <c r="I38">
        <v>115.5</v>
      </c>
      <c r="J38">
        <v>125.7</v>
      </c>
      <c r="K38">
        <v>141.5</v>
      </c>
      <c r="L38">
        <v>170.7</v>
      </c>
      <c r="M38">
        <v>97.4</v>
      </c>
      <c r="N38">
        <v>132.9</v>
      </c>
      <c r="O38">
        <v>122.7</v>
      </c>
      <c r="P38">
        <v>135.30000000000001</v>
      </c>
      <c r="Q38">
        <v>131.30000000000001</v>
      </c>
      <c r="R38">
        <v>135.19999999999999</v>
      </c>
      <c r="S38">
        <v>130.30000000000001</v>
      </c>
      <c r="T38">
        <v>125.1</v>
      </c>
      <c r="U38">
        <v>129.5</v>
      </c>
      <c r="V38">
        <v>123.4</v>
      </c>
      <c r="W38">
        <v>122.7</v>
      </c>
      <c r="X38">
        <v>124.2</v>
      </c>
      <c r="Y38">
        <v>122</v>
      </c>
      <c r="Z38">
        <v>111.1</v>
      </c>
      <c r="AA38">
        <v>119.8</v>
      </c>
      <c r="AB38">
        <v>126.3</v>
      </c>
      <c r="AC38">
        <v>114.5</v>
      </c>
      <c r="AD38">
        <v>118.5</v>
      </c>
      <c r="AE38">
        <v>126.3</v>
      </c>
    </row>
    <row r="39" spans="1:31" x14ac:dyDescent="0.25">
      <c r="A39" s="1">
        <v>42401</v>
      </c>
      <c r="B39" s="2" t="s">
        <v>31</v>
      </c>
      <c r="C39">
        <v>2016</v>
      </c>
      <c r="D39" s="2" t="s">
        <v>33</v>
      </c>
      <c r="E39">
        <v>126.4</v>
      </c>
      <c r="F39">
        <v>134.19999999999999</v>
      </c>
      <c r="G39">
        <v>128.69999999999999</v>
      </c>
      <c r="H39">
        <v>130.30000000000001</v>
      </c>
      <c r="I39">
        <v>114.8</v>
      </c>
      <c r="J39">
        <v>124.9</v>
      </c>
      <c r="K39">
        <v>130.30000000000001</v>
      </c>
      <c r="L39">
        <v>167.4</v>
      </c>
      <c r="M39">
        <v>98.8</v>
      </c>
      <c r="N39">
        <v>133.6</v>
      </c>
      <c r="O39">
        <v>123</v>
      </c>
      <c r="P39">
        <v>135.80000000000001</v>
      </c>
      <c r="Q39">
        <v>129.9</v>
      </c>
      <c r="R39">
        <v>135.9</v>
      </c>
      <c r="S39">
        <v>130.9</v>
      </c>
      <c r="T39">
        <v>125.8</v>
      </c>
      <c r="U39">
        <v>130.19999999999999</v>
      </c>
      <c r="V39">
        <v>124.4</v>
      </c>
      <c r="W39">
        <v>123.1</v>
      </c>
      <c r="X39">
        <v>124.6</v>
      </c>
      <c r="Y39">
        <v>122.5</v>
      </c>
      <c r="Z39">
        <v>111.4</v>
      </c>
      <c r="AA39">
        <v>120.3</v>
      </c>
      <c r="AB39">
        <v>126.6</v>
      </c>
      <c r="AC39">
        <v>116.6</v>
      </c>
      <c r="AD39">
        <v>119.1</v>
      </c>
      <c r="AE39">
        <v>126</v>
      </c>
    </row>
    <row r="40" spans="1:31" x14ac:dyDescent="0.25">
      <c r="A40" s="1">
        <v>42430</v>
      </c>
      <c r="B40" s="2" t="s">
        <v>31</v>
      </c>
      <c r="C40">
        <v>2016</v>
      </c>
      <c r="D40" s="2" t="s">
        <v>34</v>
      </c>
      <c r="E40">
        <v>126.5</v>
      </c>
      <c r="F40">
        <v>135.1</v>
      </c>
      <c r="G40">
        <v>124.6</v>
      </c>
      <c r="H40">
        <v>130.19999999999999</v>
      </c>
      <c r="I40">
        <v>114.5</v>
      </c>
      <c r="J40">
        <v>126.2</v>
      </c>
      <c r="K40">
        <v>129.80000000000001</v>
      </c>
      <c r="L40">
        <v>164.3</v>
      </c>
      <c r="M40">
        <v>100.9</v>
      </c>
      <c r="N40">
        <v>133.9</v>
      </c>
      <c r="O40">
        <v>123.1</v>
      </c>
      <c r="P40">
        <v>136.30000000000001</v>
      </c>
      <c r="Q40">
        <v>129.80000000000001</v>
      </c>
      <c r="R40">
        <v>136.5</v>
      </c>
      <c r="S40">
        <v>131.30000000000001</v>
      </c>
      <c r="T40">
        <v>126.1</v>
      </c>
      <c r="U40">
        <v>130.5</v>
      </c>
      <c r="V40">
        <v>124.9</v>
      </c>
      <c r="W40">
        <v>122.4</v>
      </c>
      <c r="X40">
        <v>125.1</v>
      </c>
      <c r="Y40">
        <v>122.9</v>
      </c>
      <c r="Z40">
        <v>110.9</v>
      </c>
      <c r="AA40">
        <v>120.6</v>
      </c>
      <c r="AB40">
        <v>126.9</v>
      </c>
      <c r="AC40">
        <v>117.3</v>
      </c>
      <c r="AD40">
        <v>119.3</v>
      </c>
      <c r="AE40">
        <v>126</v>
      </c>
    </row>
    <row r="41" spans="1:31" x14ac:dyDescent="0.25">
      <c r="A41" s="1">
        <v>42461</v>
      </c>
      <c r="B41" s="2" t="s">
        <v>31</v>
      </c>
      <c r="C41">
        <v>2016</v>
      </c>
      <c r="D41" s="2" t="s">
        <v>35</v>
      </c>
      <c r="E41">
        <v>126.6</v>
      </c>
      <c r="F41">
        <v>136.80000000000001</v>
      </c>
      <c r="G41">
        <v>122</v>
      </c>
      <c r="H41">
        <v>130.9</v>
      </c>
      <c r="I41">
        <v>114.8</v>
      </c>
      <c r="J41">
        <v>134.80000000000001</v>
      </c>
      <c r="K41">
        <v>135</v>
      </c>
      <c r="L41">
        <v>167.5</v>
      </c>
      <c r="M41">
        <v>106.4</v>
      </c>
      <c r="N41">
        <v>134.4</v>
      </c>
      <c r="O41">
        <v>123.6</v>
      </c>
      <c r="P41">
        <v>136.69999999999999</v>
      </c>
      <c r="Q41">
        <v>131.80000000000001</v>
      </c>
      <c r="R41">
        <v>137.1</v>
      </c>
      <c r="S41">
        <v>131.80000000000001</v>
      </c>
      <c r="T41">
        <v>126.4</v>
      </c>
      <c r="U41">
        <v>131</v>
      </c>
      <c r="V41">
        <v>125.6</v>
      </c>
      <c r="W41">
        <v>122.3</v>
      </c>
      <c r="X41">
        <v>125.5</v>
      </c>
      <c r="Y41">
        <v>123.2</v>
      </c>
      <c r="Z41">
        <v>112.1</v>
      </c>
      <c r="AA41">
        <v>121.1</v>
      </c>
      <c r="AB41">
        <v>127.7</v>
      </c>
      <c r="AC41">
        <v>118.1</v>
      </c>
      <c r="AD41">
        <v>120</v>
      </c>
      <c r="AE41">
        <v>127.3</v>
      </c>
    </row>
    <row r="42" spans="1:31" x14ac:dyDescent="0.25">
      <c r="A42" s="1">
        <v>42491</v>
      </c>
      <c r="B42" s="2" t="s">
        <v>31</v>
      </c>
      <c r="C42">
        <v>2016</v>
      </c>
      <c r="D42" s="2" t="s">
        <v>36</v>
      </c>
      <c r="E42">
        <v>126.8</v>
      </c>
      <c r="F42">
        <v>139.1</v>
      </c>
      <c r="G42">
        <v>125.4</v>
      </c>
      <c r="H42">
        <v>131.69999999999999</v>
      </c>
      <c r="I42">
        <v>115</v>
      </c>
      <c r="J42">
        <v>136</v>
      </c>
      <c r="K42">
        <v>145.1</v>
      </c>
      <c r="L42">
        <v>171.7</v>
      </c>
      <c r="M42">
        <v>108.7</v>
      </c>
      <c r="N42">
        <v>135.30000000000001</v>
      </c>
      <c r="O42">
        <v>124.2</v>
      </c>
      <c r="P42">
        <v>137.4</v>
      </c>
      <c r="Q42">
        <v>134</v>
      </c>
      <c r="R42">
        <v>137.69999999999999</v>
      </c>
      <c r="S42">
        <v>132.19999999999999</v>
      </c>
      <c r="T42">
        <v>126.8</v>
      </c>
      <c r="U42">
        <v>131.4</v>
      </c>
      <c r="V42">
        <v>126</v>
      </c>
      <c r="W42">
        <v>122.7</v>
      </c>
      <c r="X42">
        <v>126</v>
      </c>
      <c r="Y42">
        <v>123.7</v>
      </c>
      <c r="Z42">
        <v>112.8</v>
      </c>
      <c r="AA42">
        <v>121.5</v>
      </c>
      <c r="AB42">
        <v>128.5</v>
      </c>
      <c r="AC42">
        <v>119.2</v>
      </c>
      <c r="AD42">
        <v>120.7</v>
      </c>
      <c r="AE42">
        <v>128.6</v>
      </c>
    </row>
    <row r="43" spans="1:31" x14ac:dyDescent="0.25">
      <c r="A43" s="1">
        <v>42522</v>
      </c>
      <c r="B43" s="2" t="s">
        <v>31</v>
      </c>
      <c r="C43">
        <v>2016</v>
      </c>
      <c r="D43" s="2" t="s">
        <v>37</v>
      </c>
      <c r="E43">
        <v>127.7</v>
      </c>
      <c r="F43">
        <v>140.5</v>
      </c>
      <c r="G43">
        <v>128.30000000000001</v>
      </c>
      <c r="H43">
        <v>132.6</v>
      </c>
      <c r="I43">
        <v>115.5</v>
      </c>
      <c r="J43">
        <v>136.5</v>
      </c>
      <c r="K43">
        <v>159.69999999999999</v>
      </c>
      <c r="L43">
        <v>174.3</v>
      </c>
      <c r="M43">
        <v>109.9</v>
      </c>
      <c r="N43">
        <v>136.30000000000001</v>
      </c>
      <c r="O43">
        <v>124.4</v>
      </c>
      <c r="P43">
        <v>138.1</v>
      </c>
      <c r="Q43">
        <v>136.80000000000001</v>
      </c>
      <c r="R43">
        <v>138.69999999999999</v>
      </c>
      <c r="S43">
        <v>132.9</v>
      </c>
      <c r="T43">
        <v>127.2</v>
      </c>
      <c r="U43">
        <v>132</v>
      </c>
      <c r="V43">
        <v>125.5</v>
      </c>
      <c r="W43">
        <v>123.3</v>
      </c>
      <c r="X43">
        <v>126.4</v>
      </c>
      <c r="Y43">
        <v>124.1</v>
      </c>
      <c r="Z43">
        <v>114.2</v>
      </c>
      <c r="AA43">
        <v>121.7</v>
      </c>
      <c r="AB43">
        <v>129.69999999999999</v>
      </c>
      <c r="AC43">
        <v>119.4</v>
      </c>
      <c r="AD43">
        <v>121.5</v>
      </c>
      <c r="AE43">
        <v>130.1</v>
      </c>
    </row>
    <row r="44" spans="1:31" x14ac:dyDescent="0.25">
      <c r="A44" s="1">
        <v>42552</v>
      </c>
      <c r="B44" s="2" t="s">
        <v>31</v>
      </c>
      <c r="C44">
        <v>2016</v>
      </c>
      <c r="D44" s="2" t="s">
        <v>38</v>
      </c>
      <c r="E44">
        <v>128.5</v>
      </c>
      <c r="F44">
        <v>141.19999999999999</v>
      </c>
      <c r="G44">
        <v>132.30000000000001</v>
      </c>
      <c r="H44">
        <v>133.5</v>
      </c>
      <c r="I44">
        <v>116.4</v>
      </c>
      <c r="J44">
        <v>137.80000000000001</v>
      </c>
      <c r="K44">
        <v>165.4</v>
      </c>
      <c r="L44">
        <v>177.4</v>
      </c>
      <c r="M44">
        <v>111.3</v>
      </c>
      <c r="N44">
        <v>137.5</v>
      </c>
      <c r="O44">
        <v>125</v>
      </c>
      <c r="P44">
        <v>138.80000000000001</v>
      </c>
      <c r="Q44">
        <v>138.4</v>
      </c>
      <c r="R44">
        <v>139.30000000000001</v>
      </c>
      <c r="S44">
        <v>133.5</v>
      </c>
      <c r="T44">
        <v>127.6</v>
      </c>
      <c r="U44">
        <v>132.69999999999999</v>
      </c>
      <c r="V44">
        <v>126.4</v>
      </c>
      <c r="W44">
        <v>123.4</v>
      </c>
      <c r="X44">
        <v>126.9</v>
      </c>
      <c r="Y44">
        <v>124.5</v>
      </c>
      <c r="Z44">
        <v>113.9</v>
      </c>
      <c r="AA44">
        <v>122.4</v>
      </c>
      <c r="AB44">
        <v>130.80000000000001</v>
      </c>
      <c r="AC44">
        <v>120.5</v>
      </c>
      <c r="AD44">
        <v>121.9</v>
      </c>
      <c r="AE44">
        <v>131.1</v>
      </c>
    </row>
    <row r="45" spans="1:31" x14ac:dyDescent="0.25">
      <c r="A45" s="1">
        <v>42583</v>
      </c>
      <c r="B45" s="2" t="s">
        <v>31</v>
      </c>
      <c r="C45">
        <v>2016</v>
      </c>
      <c r="D45" s="2" t="s">
        <v>39</v>
      </c>
      <c r="E45">
        <v>129.30000000000001</v>
      </c>
      <c r="F45">
        <v>139.30000000000001</v>
      </c>
      <c r="G45">
        <v>131.6</v>
      </c>
      <c r="H45">
        <v>134.1</v>
      </c>
      <c r="I45">
        <v>116.9</v>
      </c>
      <c r="J45">
        <v>138.1</v>
      </c>
      <c r="K45">
        <v>159.1</v>
      </c>
      <c r="L45">
        <v>175.6</v>
      </c>
      <c r="M45">
        <v>112.9</v>
      </c>
      <c r="N45">
        <v>138.1</v>
      </c>
      <c r="O45">
        <v>125.5</v>
      </c>
      <c r="P45">
        <v>139.5</v>
      </c>
      <c r="Q45">
        <v>137.9</v>
      </c>
      <c r="R45">
        <v>140.19999999999999</v>
      </c>
      <c r="S45">
        <v>134.1</v>
      </c>
      <c r="T45">
        <v>128.19999999999999</v>
      </c>
      <c r="U45">
        <v>133.19999999999999</v>
      </c>
      <c r="V45">
        <v>127.3</v>
      </c>
      <c r="W45">
        <v>123.6</v>
      </c>
      <c r="X45">
        <v>127.4</v>
      </c>
      <c r="Y45">
        <v>124.8</v>
      </c>
      <c r="Z45">
        <v>113.1</v>
      </c>
      <c r="AA45">
        <v>122.7</v>
      </c>
      <c r="AB45">
        <v>131.69999999999999</v>
      </c>
      <c r="AC45">
        <v>121.5</v>
      </c>
      <c r="AD45">
        <v>122.1</v>
      </c>
      <c r="AE45">
        <v>131.1</v>
      </c>
    </row>
    <row r="46" spans="1:31" x14ac:dyDescent="0.25">
      <c r="A46" s="1">
        <v>42614</v>
      </c>
      <c r="B46" s="2" t="s">
        <v>31</v>
      </c>
      <c r="C46">
        <v>2016</v>
      </c>
      <c r="D46" s="2" t="s">
        <v>40</v>
      </c>
      <c r="E46">
        <v>129.9</v>
      </c>
      <c r="F46">
        <v>138</v>
      </c>
      <c r="G46">
        <v>130.5</v>
      </c>
      <c r="H46">
        <v>134.4</v>
      </c>
      <c r="I46">
        <v>117.2</v>
      </c>
      <c r="J46">
        <v>136.1</v>
      </c>
      <c r="K46">
        <v>150.69999999999999</v>
      </c>
      <c r="L46">
        <v>171.5</v>
      </c>
      <c r="M46">
        <v>113.8</v>
      </c>
      <c r="N46">
        <v>138.80000000000001</v>
      </c>
      <c r="O46">
        <v>126</v>
      </c>
      <c r="P46">
        <v>140.19999999999999</v>
      </c>
      <c r="Q46">
        <v>136.6</v>
      </c>
      <c r="R46">
        <v>141</v>
      </c>
      <c r="S46">
        <v>134.6</v>
      </c>
      <c r="T46">
        <v>128.6</v>
      </c>
      <c r="U46">
        <v>133.80000000000001</v>
      </c>
      <c r="V46">
        <v>127.9</v>
      </c>
      <c r="W46">
        <v>124.1</v>
      </c>
      <c r="X46">
        <v>127.9</v>
      </c>
      <c r="Y46">
        <v>125.4</v>
      </c>
      <c r="Z46">
        <v>114.3</v>
      </c>
      <c r="AA46">
        <v>122.9</v>
      </c>
      <c r="AB46">
        <v>131.80000000000001</v>
      </c>
      <c r="AC46">
        <v>122.1</v>
      </c>
      <c r="AD46">
        <v>122.8</v>
      </c>
      <c r="AE46">
        <v>130.9</v>
      </c>
    </row>
    <row r="47" spans="1:31" x14ac:dyDescent="0.25">
      <c r="A47" s="1">
        <v>42644</v>
      </c>
      <c r="B47" s="2" t="s">
        <v>31</v>
      </c>
      <c r="C47">
        <v>2016</v>
      </c>
      <c r="D47" s="2" t="s">
        <v>41</v>
      </c>
      <c r="E47">
        <v>130.5</v>
      </c>
      <c r="F47">
        <v>137.9</v>
      </c>
      <c r="G47">
        <v>130.19999999999999</v>
      </c>
      <c r="H47">
        <v>134.80000000000001</v>
      </c>
      <c r="I47">
        <v>117.8</v>
      </c>
      <c r="J47">
        <v>134.69999999999999</v>
      </c>
      <c r="K47">
        <v>151.19999999999999</v>
      </c>
      <c r="L47">
        <v>172.1</v>
      </c>
      <c r="M47">
        <v>114.1</v>
      </c>
      <c r="N47">
        <v>139.30000000000001</v>
      </c>
      <c r="O47">
        <v>126.1</v>
      </c>
      <c r="P47">
        <v>141.1</v>
      </c>
      <c r="Q47">
        <v>137</v>
      </c>
      <c r="R47">
        <v>141.80000000000001</v>
      </c>
      <c r="S47">
        <v>135.5</v>
      </c>
      <c r="T47">
        <v>129.1</v>
      </c>
      <c r="U47">
        <v>134.5</v>
      </c>
      <c r="V47">
        <v>128.69999999999999</v>
      </c>
      <c r="W47">
        <v>124.3</v>
      </c>
      <c r="X47">
        <v>128.4</v>
      </c>
      <c r="Y47">
        <v>126.1</v>
      </c>
      <c r="Z47">
        <v>115.2</v>
      </c>
      <c r="AA47">
        <v>123.5</v>
      </c>
      <c r="AB47">
        <v>132.4</v>
      </c>
      <c r="AC47">
        <v>122.1</v>
      </c>
      <c r="AD47">
        <v>123.4</v>
      </c>
      <c r="AE47">
        <v>131.4</v>
      </c>
    </row>
    <row r="48" spans="1:31" x14ac:dyDescent="0.25">
      <c r="A48" s="1">
        <v>42675</v>
      </c>
      <c r="B48" s="2" t="s">
        <v>31</v>
      </c>
      <c r="C48">
        <v>2016</v>
      </c>
      <c r="D48" s="2" t="s">
        <v>42</v>
      </c>
      <c r="E48">
        <v>131.4</v>
      </c>
      <c r="F48">
        <v>137.80000000000001</v>
      </c>
      <c r="G48">
        <v>132</v>
      </c>
      <c r="H48">
        <v>135</v>
      </c>
      <c r="I48">
        <v>118</v>
      </c>
      <c r="J48">
        <v>134.1</v>
      </c>
      <c r="K48">
        <v>141.9</v>
      </c>
      <c r="L48">
        <v>171.7</v>
      </c>
      <c r="M48">
        <v>114.1</v>
      </c>
      <c r="N48">
        <v>139.69999999999999</v>
      </c>
      <c r="O48">
        <v>126.2</v>
      </c>
      <c r="P48">
        <v>141.80000000000001</v>
      </c>
      <c r="Q48">
        <v>136.1</v>
      </c>
      <c r="R48">
        <v>142</v>
      </c>
      <c r="S48">
        <v>135.80000000000001</v>
      </c>
      <c r="T48">
        <v>129.30000000000001</v>
      </c>
      <c r="U48">
        <v>135</v>
      </c>
      <c r="V48">
        <v>129.1</v>
      </c>
      <c r="W48">
        <v>125</v>
      </c>
      <c r="X48">
        <v>128.6</v>
      </c>
      <c r="Y48">
        <v>126.4</v>
      </c>
      <c r="Z48">
        <v>115.7</v>
      </c>
      <c r="AA48">
        <v>124</v>
      </c>
      <c r="AB48">
        <v>132.80000000000001</v>
      </c>
      <c r="AC48">
        <v>122.6</v>
      </c>
      <c r="AD48">
        <v>123.8</v>
      </c>
      <c r="AE48">
        <v>131.19999999999999</v>
      </c>
    </row>
    <row r="49" spans="1:31" x14ac:dyDescent="0.25">
      <c r="A49" s="1">
        <v>42705</v>
      </c>
      <c r="B49" s="2" t="s">
        <v>31</v>
      </c>
      <c r="C49">
        <v>2016</v>
      </c>
      <c r="D49" s="2" t="s">
        <v>43</v>
      </c>
      <c r="E49">
        <v>132.30000000000001</v>
      </c>
      <c r="F49">
        <v>137.6</v>
      </c>
      <c r="G49">
        <v>132.9</v>
      </c>
      <c r="H49">
        <v>135.1</v>
      </c>
      <c r="I49">
        <v>118.6</v>
      </c>
      <c r="J49">
        <v>132.69999999999999</v>
      </c>
      <c r="K49">
        <v>125.3</v>
      </c>
      <c r="L49">
        <v>168.7</v>
      </c>
      <c r="M49">
        <v>114.4</v>
      </c>
      <c r="N49">
        <v>140.19999999999999</v>
      </c>
      <c r="O49">
        <v>126.6</v>
      </c>
      <c r="P49">
        <v>142.30000000000001</v>
      </c>
      <c r="Q49">
        <v>134</v>
      </c>
      <c r="R49">
        <v>143.1</v>
      </c>
      <c r="S49">
        <v>136.30000000000001</v>
      </c>
      <c r="T49">
        <v>129.80000000000001</v>
      </c>
      <c r="U49">
        <v>135.4</v>
      </c>
      <c r="V49">
        <v>128.5</v>
      </c>
      <c r="W49">
        <v>126.6</v>
      </c>
      <c r="X49">
        <v>129.19999999999999</v>
      </c>
      <c r="Y49">
        <v>126.9</v>
      </c>
      <c r="Z49">
        <v>116</v>
      </c>
      <c r="AA49">
        <v>124.2</v>
      </c>
      <c r="AB49">
        <v>133.1</v>
      </c>
      <c r="AC49">
        <v>121.1</v>
      </c>
      <c r="AD49">
        <v>123.9</v>
      </c>
      <c r="AE49">
        <v>130.4</v>
      </c>
    </row>
    <row r="50" spans="1:31" x14ac:dyDescent="0.25">
      <c r="A50" s="1">
        <v>42736</v>
      </c>
      <c r="B50" s="2" t="s">
        <v>31</v>
      </c>
      <c r="C50">
        <v>2017</v>
      </c>
      <c r="D50" s="2" t="s">
        <v>32</v>
      </c>
      <c r="E50">
        <v>132.80000000000001</v>
      </c>
      <c r="F50">
        <v>138.19999999999999</v>
      </c>
      <c r="G50">
        <v>132.19999999999999</v>
      </c>
      <c r="H50">
        <v>135.4</v>
      </c>
      <c r="I50">
        <v>119.1</v>
      </c>
      <c r="J50">
        <v>133</v>
      </c>
      <c r="K50">
        <v>119.4</v>
      </c>
      <c r="L50">
        <v>159.5</v>
      </c>
      <c r="M50">
        <v>115.6</v>
      </c>
      <c r="N50">
        <v>139.6</v>
      </c>
      <c r="O50">
        <v>126.6</v>
      </c>
      <c r="P50">
        <v>142.80000000000001</v>
      </c>
      <c r="Q50">
        <v>133.1</v>
      </c>
      <c r="R50">
        <v>143.80000000000001</v>
      </c>
      <c r="S50">
        <v>136.6</v>
      </c>
      <c r="T50">
        <v>130.19999999999999</v>
      </c>
      <c r="U50">
        <v>135.6</v>
      </c>
      <c r="V50">
        <v>129.6</v>
      </c>
      <c r="W50">
        <v>126.8</v>
      </c>
      <c r="X50">
        <v>129.4</v>
      </c>
      <c r="Y50">
        <v>127.1</v>
      </c>
      <c r="Z50">
        <v>117</v>
      </c>
      <c r="AA50">
        <v>124.2</v>
      </c>
      <c r="AB50">
        <v>133.30000000000001</v>
      </c>
      <c r="AC50">
        <v>121.7</v>
      </c>
      <c r="AD50">
        <v>124.4</v>
      </c>
      <c r="AE50">
        <v>130.30000000000001</v>
      </c>
    </row>
    <row r="51" spans="1:31" x14ac:dyDescent="0.25">
      <c r="A51" s="1">
        <v>42767</v>
      </c>
      <c r="B51" s="2" t="s">
        <v>31</v>
      </c>
      <c r="C51">
        <v>2017</v>
      </c>
      <c r="D51" s="2" t="s">
        <v>33</v>
      </c>
      <c r="E51">
        <v>133.1</v>
      </c>
      <c r="F51">
        <v>138.80000000000001</v>
      </c>
      <c r="G51">
        <v>129.30000000000001</v>
      </c>
      <c r="H51">
        <v>135.80000000000001</v>
      </c>
      <c r="I51">
        <v>119.2</v>
      </c>
      <c r="J51">
        <v>135.30000000000001</v>
      </c>
      <c r="K51">
        <v>119.5</v>
      </c>
      <c r="L51">
        <v>152.19999999999999</v>
      </c>
      <c r="M51">
        <v>117.3</v>
      </c>
      <c r="N51">
        <v>138.69999999999999</v>
      </c>
      <c r="O51">
        <v>126.9</v>
      </c>
      <c r="P51">
        <v>143.19999999999999</v>
      </c>
      <c r="Q51">
        <v>133</v>
      </c>
      <c r="R51">
        <v>144.4</v>
      </c>
      <c r="S51">
        <v>136.80000000000001</v>
      </c>
      <c r="T51">
        <v>130.30000000000001</v>
      </c>
      <c r="U51">
        <v>135.9</v>
      </c>
      <c r="V51">
        <v>130.5</v>
      </c>
      <c r="W51">
        <v>127.9</v>
      </c>
      <c r="X51">
        <v>129.69999999999999</v>
      </c>
      <c r="Y51">
        <v>127.4</v>
      </c>
      <c r="Z51">
        <v>117.4</v>
      </c>
      <c r="AA51">
        <v>124.6</v>
      </c>
      <c r="AB51">
        <v>133.4</v>
      </c>
      <c r="AC51">
        <v>122.6</v>
      </c>
      <c r="AD51">
        <v>124.8</v>
      </c>
      <c r="AE51">
        <v>130.6</v>
      </c>
    </row>
    <row r="52" spans="1:31" x14ac:dyDescent="0.25">
      <c r="A52" s="1">
        <v>42795</v>
      </c>
      <c r="B52" s="2" t="s">
        <v>31</v>
      </c>
      <c r="C52">
        <v>2017</v>
      </c>
      <c r="D52" s="2" t="s">
        <v>34</v>
      </c>
      <c r="E52">
        <v>133.30000000000001</v>
      </c>
      <c r="F52">
        <v>139</v>
      </c>
      <c r="G52">
        <v>128.6</v>
      </c>
      <c r="H52">
        <v>136.30000000000001</v>
      </c>
      <c r="I52">
        <v>118.8</v>
      </c>
      <c r="J52">
        <v>138.30000000000001</v>
      </c>
      <c r="K52">
        <v>120.5</v>
      </c>
      <c r="L52">
        <v>143.9</v>
      </c>
      <c r="M52">
        <v>118</v>
      </c>
      <c r="N52">
        <v>137.9</v>
      </c>
      <c r="O52">
        <v>127.2</v>
      </c>
      <c r="P52">
        <v>144</v>
      </c>
      <c r="Q52">
        <v>133.1</v>
      </c>
      <c r="R52">
        <v>145.1</v>
      </c>
      <c r="S52">
        <v>137.30000000000001</v>
      </c>
      <c r="T52">
        <v>130.6</v>
      </c>
      <c r="U52">
        <v>136.4</v>
      </c>
      <c r="V52">
        <v>131.1</v>
      </c>
      <c r="W52">
        <v>129.1</v>
      </c>
      <c r="X52">
        <v>130.1</v>
      </c>
      <c r="Y52">
        <v>127.8</v>
      </c>
      <c r="Z52">
        <v>117.6</v>
      </c>
      <c r="AA52">
        <v>125</v>
      </c>
      <c r="AB52">
        <v>133.80000000000001</v>
      </c>
      <c r="AC52">
        <v>122.6</v>
      </c>
      <c r="AD52">
        <v>125.1</v>
      </c>
      <c r="AE52">
        <v>130.9</v>
      </c>
    </row>
    <row r="53" spans="1:31" x14ac:dyDescent="0.25">
      <c r="A53" s="1">
        <v>42826</v>
      </c>
      <c r="B53" s="2" t="s">
        <v>31</v>
      </c>
      <c r="C53">
        <v>2017</v>
      </c>
      <c r="D53" s="2" t="s">
        <v>35</v>
      </c>
      <c r="E53">
        <v>133</v>
      </c>
      <c r="F53">
        <v>139.4</v>
      </c>
      <c r="G53">
        <v>126.1</v>
      </c>
      <c r="H53">
        <v>137.19999999999999</v>
      </c>
      <c r="I53">
        <v>118.4</v>
      </c>
      <c r="J53">
        <v>139.9</v>
      </c>
      <c r="K53">
        <v>123.4</v>
      </c>
      <c r="L53">
        <v>140.9</v>
      </c>
      <c r="M53">
        <v>118.5</v>
      </c>
      <c r="N53">
        <v>136.5</v>
      </c>
      <c r="O53">
        <v>127.4</v>
      </c>
      <c r="P53">
        <v>144.19999999999999</v>
      </c>
      <c r="Q53">
        <v>133.5</v>
      </c>
      <c r="R53">
        <v>145.4</v>
      </c>
      <c r="S53">
        <v>138</v>
      </c>
      <c r="T53">
        <v>131.1</v>
      </c>
      <c r="U53">
        <v>137</v>
      </c>
      <c r="V53">
        <v>131.69999999999999</v>
      </c>
      <c r="W53">
        <v>129.80000000000001</v>
      </c>
      <c r="X53">
        <v>130.4</v>
      </c>
      <c r="Y53">
        <v>128.1</v>
      </c>
      <c r="Z53">
        <v>116.6</v>
      </c>
      <c r="AA53">
        <v>125.1</v>
      </c>
      <c r="AB53">
        <v>134.5</v>
      </c>
      <c r="AC53">
        <v>123.1</v>
      </c>
      <c r="AD53">
        <v>125.1</v>
      </c>
      <c r="AE53">
        <v>131.1</v>
      </c>
    </row>
    <row r="54" spans="1:31" x14ac:dyDescent="0.25">
      <c r="A54" s="1">
        <v>42856</v>
      </c>
      <c r="B54" s="2" t="s">
        <v>31</v>
      </c>
      <c r="C54">
        <v>2017</v>
      </c>
      <c r="D54" s="2" t="s">
        <v>36</v>
      </c>
      <c r="E54">
        <v>132.9</v>
      </c>
      <c r="F54">
        <v>141.6</v>
      </c>
      <c r="G54">
        <v>126.3</v>
      </c>
      <c r="H54">
        <v>137.69999999999999</v>
      </c>
      <c r="I54">
        <v>118.1</v>
      </c>
      <c r="J54">
        <v>137.9</v>
      </c>
      <c r="K54">
        <v>125.6</v>
      </c>
      <c r="L54">
        <v>138.30000000000001</v>
      </c>
      <c r="M54">
        <v>119.4</v>
      </c>
      <c r="N54">
        <v>136</v>
      </c>
      <c r="O54">
        <v>127.6</v>
      </c>
      <c r="P54">
        <v>144.5</v>
      </c>
      <c r="Q54">
        <v>133.69999999999999</v>
      </c>
      <c r="R54">
        <v>146.19999999999999</v>
      </c>
      <c r="S54">
        <v>138.19999999999999</v>
      </c>
      <c r="T54">
        <v>131.4</v>
      </c>
      <c r="U54">
        <v>137.19999999999999</v>
      </c>
      <c r="V54">
        <v>132.1</v>
      </c>
      <c r="W54">
        <v>129.4</v>
      </c>
      <c r="X54">
        <v>130.9</v>
      </c>
      <c r="Y54">
        <v>128.4</v>
      </c>
      <c r="Z54">
        <v>116.7</v>
      </c>
      <c r="AA54">
        <v>125.7</v>
      </c>
      <c r="AB54">
        <v>134.80000000000001</v>
      </c>
      <c r="AC54">
        <v>123</v>
      </c>
      <c r="AD54">
        <v>125.3</v>
      </c>
      <c r="AE54">
        <v>131.4</v>
      </c>
    </row>
    <row r="55" spans="1:31" x14ac:dyDescent="0.25">
      <c r="A55" s="1">
        <v>42887</v>
      </c>
      <c r="B55" s="2" t="s">
        <v>31</v>
      </c>
      <c r="C55">
        <v>2017</v>
      </c>
      <c r="D55" s="2" t="s">
        <v>37</v>
      </c>
      <c r="E55">
        <v>133.30000000000001</v>
      </c>
      <c r="F55">
        <v>145.5</v>
      </c>
      <c r="G55">
        <v>128.1</v>
      </c>
      <c r="H55">
        <v>138.1</v>
      </c>
      <c r="I55">
        <v>118.2</v>
      </c>
      <c r="J55">
        <v>139.19999999999999</v>
      </c>
      <c r="K55">
        <v>133.30000000000001</v>
      </c>
      <c r="L55">
        <v>136.19999999999999</v>
      </c>
      <c r="M55">
        <v>119.6</v>
      </c>
      <c r="N55">
        <v>135.30000000000001</v>
      </c>
      <c r="O55">
        <v>127.8</v>
      </c>
      <c r="P55">
        <v>144.9</v>
      </c>
      <c r="Q55">
        <v>135.19999999999999</v>
      </c>
      <c r="R55">
        <v>146.5</v>
      </c>
      <c r="S55">
        <v>138.5</v>
      </c>
      <c r="T55">
        <v>131.69999999999999</v>
      </c>
      <c r="U55">
        <v>137.5</v>
      </c>
      <c r="V55">
        <v>131.4</v>
      </c>
      <c r="W55">
        <v>128.80000000000001</v>
      </c>
      <c r="X55">
        <v>131.19999999999999</v>
      </c>
      <c r="Y55">
        <v>128.5</v>
      </c>
      <c r="Z55">
        <v>116.5</v>
      </c>
      <c r="AA55">
        <v>125.9</v>
      </c>
      <c r="AB55">
        <v>135.4</v>
      </c>
      <c r="AC55">
        <v>123.4</v>
      </c>
      <c r="AD55">
        <v>125.5</v>
      </c>
      <c r="AE55">
        <v>132</v>
      </c>
    </row>
    <row r="56" spans="1:31" x14ac:dyDescent="0.25">
      <c r="A56" s="1">
        <v>42917</v>
      </c>
      <c r="B56" s="2" t="s">
        <v>31</v>
      </c>
      <c r="C56">
        <v>2017</v>
      </c>
      <c r="D56" s="2" t="s">
        <v>38</v>
      </c>
      <c r="E56">
        <v>133.6</v>
      </c>
      <c r="F56">
        <v>145.69999999999999</v>
      </c>
      <c r="G56">
        <v>129.6</v>
      </c>
      <c r="H56">
        <v>138.5</v>
      </c>
      <c r="I56">
        <v>118.1</v>
      </c>
      <c r="J56">
        <v>141.80000000000001</v>
      </c>
      <c r="K56">
        <v>159.5</v>
      </c>
      <c r="L56">
        <v>133.6</v>
      </c>
      <c r="M56">
        <v>120.5</v>
      </c>
      <c r="N56">
        <v>135.19999999999999</v>
      </c>
      <c r="O56">
        <v>128.5</v>
      </c>
      <c r="P56">
        <v>145.80000000000001</v>
      </c>
      <c r="Q56">
        <v>139</v>
      </c>
      <c r="R56">
        <v>148.19999999999999</v>
      </c>
      <c r="S56">
        <v>139.30000000000001</v>
      </c>
      <c r="T56">
        <v>132.1</v>
      </c>
      <c r="U56">
        <v>138.30000000000001</v>
      </c>
      <c r="V56">
        <v>132.6</v>
      </c>
      <c r="W56">
        <v>129.4</v>
      </c>
      <c r="X56">
        <v>131.9</v>
      </c>
      <c r="Y56">
        <v>129.4</v>
      </c>
      <c r="Z56">
        <v>116</v>
      </c>
      <c r="AA56">
        <v>126.6</v>
      </c>
      <c r="AB56">
        <v>136.80000000000001</v>
      </c>
      <c r="AC56">
        <v>123.6</v>
      </c>
      <c r="AD56">
        <v>125.9</v>
      </c>
      <c r="AE56">
        <v>134.19999999999999</v>
      </c>
    </row>
    <row r="57" spans="1:31" x14ac:dyDescent="0.25">
      <c r="A57" s="1">
        <v>42948</v>
      </c>
      <c r="B57" s="2" t="s">
        <v>31</v>
      </c>
      <c r="C57">
        <v>2017</v>
      </c>
      <c r="D57" s="2" t="s">
        <v>39</v>
      </c>
      <c r="E57">
        <v>134.30000000000001</v>
      </c>
      <c r="F57">
        <v>143.4</v>
      </c>
      <c r="G57">
        <v>129.30000000000001</v>
      </c>
      <c r="H57">
        <v>139</v>
      </c>
      <c r="I57">
        <v>118.1</v>
      </c>
      <c r="J57">
        <v>145.5</v>
      </c>
      <c r="K57">
        <v>168.6</v>
      </c>
      <c r="L57">
        <v>132.69999999999999</v>
      </c>
      <c r="M57">
        <v>121.2</v>
      </c>
      <c r="N57">
        <v>135.6</v>
      </c>
      <c r="O57">
        <v>128.69999999999999</v>
      </c>
      <c r="P57">
        <v>146.80000000000001</v>
      </c>
      <c r="Q57">
        <v>140.6</v>
      </c>
      <c r="R57">
        <v>149.80000000000001</v>
      </c>
      <c r="S57">
        <v>140.30000000000001</v>
      </c>
      <c r="T57">
        <v>133</v>
      </c>
      <c r="U57">
        <v>139.30000000000001</v>
      </c>
      <c r="V57">
        <v>134.4</v>
      </c>
      <c r="W57">
        <v>129.80000000000001</v>
      </c>
      <c r="X57">
        <v>132.80000000000001</v>
      </c>
      <c r="Y57">
        <v>130.19999999999999</v>
      </c>
      <c r="Z57">
        <v>117.3</v>
      </c>
      <c r="AA57">
        <v>127.3</v>
      </c>
      <c r="AB57">
        <v>137.6</v>
      </c>
      <c r="AC57">
        <v>124.5</v>
      </c>
      <c r="AD57">
        <v>126.8</v>
      </c>
      <c r="AE57">
        <v>135.4</v>
      </c>
    </row>
    <row r="58" spans="1:31" x14ac:dyDescent="0.25">
      <c r="A58" s="1">
        <v>42979</v>
      </c>
      <c r="B58" s="2" t="s">
        <v>31</v>
      </c>
      <c r="C58">
        <v>2017</v>
      </c>
      <c r="D58" s="2" t="s">
        <v>40</v>
      </c>
      <c r="E58">
        <v>134.69999999999999</v>
      </c>
      <c r="F58">
        <v>142.4</v>
      </c>
      <c r="G58">
        <v>130.19999999999999</v>
      </c>
      <c r="H58">
        <v>139.6</v>
      </c>
      <c r="I58">
        <v>118.4</v>
      </c>
      <c r="J58">
        <v>143</v>
      </c>
      <c r="K58">
        <v>156.6</v>
      </c>
      <c r="L58">
        <v>132.9</v>
      </c>
      <c r="M58">
        <v>121.5</v>
      </c>
      <c r="N58">
        <v>135.6</v>
      </c>
      <c r="O58">
        <v>128.80000000000001</v>
      </c>
      <c r="P58">
        <v>147.30000000000001</v>
      </c>
      <c r="Q58">
        <v>139</v>
      </c>
      <c r="R58">
        <v>150.80000000000001</v>
      </c>
      <c r="S58">
        <v>141.1</v>
      </c>
      <c r="T58">
        <v>133.4</v>
      </c>
      <c r="U58">
        <v>140</v>
      </c>
      <c r="V58">
        <v>135.69999999999999</v>
      </c>
      <c r="W58">
        <v>131</v>
      </c>
      <c r="X58">
        <v>133.30000000000001</v>
      </c>
      <c r="Y58">
        <v>130.6</v>
      </c>
      <c r="Z58">
        <v>118.3</v>
      </c>
      <c r="AA58">
        <v>127.9</v>
      </c>
      <c r="AB58">
        <v>137.4</v>
      </c>
      <c r="AC58">
        <v>125.7</v>
      </c>
      <c r="AD58">
        <v>127.5</v>
      </c>
      <c r="AE58">
        <v>135.19999999999999</v>
      </c>
    </row>
    <row r="59" spans="1:31" x14ac:dyDescent="0.25">
      <c r="A59" s="1">
        <v>43009</v>
      </c>
      <c r="B59" s="2" t="s">
        <v>31</v>
      </c>
      <c r="C59">
        <v>2017</v>
      </c>
      <c r="D59" s="2" t="s">
        <v>41</v>
      </c>
      <c r="E59">
        <v>135.30000000000001</v>
      </c>
      <c r="F59">
        <v>142.19999999999999</v>
      </c>
      <c r="G59">
        <v>131.19999999999999</v>
      </c>
      <c r="H59">
        <v>140.6</v>
      </c>
      <c r="I59">
        <v>119</v>
      </c>
      <c r="J59">
        <v>141.5</v>
      </c>
      <c r="K59">
        <v>162.6</v>
      </c>
      <c r="L59">
        <v>132.30000000000001</v>
      </c>
      <c r="M59">
        <v>121.8</v>
      </c>
      <c r="N59">
        <v>136.30000000000001</v>
      </c>
      <c r="O59">
        <v>128.69999999999999</v>
      </c>
      <c r="P59">
        <v>148.1</v>
      </c>
      <c r="Q59">
        <v>140.1</v>
      </c>
      <c r="R59">
        <v>151.6</v>
      </c>
      <c r="S59">
        <v>142</v>
      </c>
      <c r="T59">
        <v>134.1</v>
      </c>
      <c r="U59">
        <v>140.80000000000001</v>
      </c>
      <c r="V59">
        <v>137.30000000000001</v>
      </c>
      <c r="W59">
        <v>132.19999999999999</v>
      </c>
      <c r="X59">
        <v>133.6</v>
      </c>
      <c r="Y59">
        <v>131.30000000000001</v>
      </c>
      <c r="Z59">
        <v>117.8</v>
      </c>
      <c r="AA59">
        <v>128.4</v>
      </c>
      <c r="AB59">
        <v>137.9</v>
      </c>
      <c r="AC59">
        <v>126.2</v>
      </c>
      <c r="AD59">
        <v>127.7</v>
      </c>
      <c r="AE59">
        <v>136.1</v>
      </c>
    </row>
    <row r="60" spans="1:31" x14ac:dyDescent="0.25">
      <c r="A60" s="1">
        <v>43040</v>
      </c>
      <c r="B60" s="2" t="s">
        <v>31</v>
      </c>
      <c r="C60">
        <v>2017</v>
      </c>
      <c r="D60" s="2" t="s">
        <v>42</v>
      </c>
      <c r="E60">
        <v>135.69999999999999</v>
      </c>
      <c r="F60">
        <v>142.4</v>
      </c>
      <c r="G60">
        <v>142.9</v>
      </c>
      <c r="H60">
        <v>140.80000000000001</v>
      </c>
      <c r="I60">
        <v>119.2</v>
      </c>
      <c r="J60">
        <v>142.19999999999999</v>
      </c>
      <c r="K60">
        <v>173.8</v>
      </c>
      <c r="L60">
        <v>131.19999999999999</v>
      </c>
      <c r="M60">
        <v>123</v>
      </c>
      <c r="N60">
        <v>136.80000000000001</v>
      </c>
      <c r="O60">
        <v>129.19999999999999</v>
      </c>
      <c r="P60">
        <v>148.9</v>
      </c>
      <c r="Q60">
        <v>142.1</v>
      </c>
      <c r="R60">
        <v>153.19999999999999</v>
      </c>
      <c r="S60">
        <v>143</v>
      </c>
      <c r="T60">
        <v>134.80000000000001</v>
      </c>
      <c r="U60">
        <v>141.80000000000001</v>
      </c>
      <c r="V60">
        <v>138.6</v>
      </c>
      <c r="W60">
        <v>135.30000000000001</v>
      </c>
      <c r="X60">
        <v>134.4</v>
      </c>
      <c r="Y60">
        <v>132.6</v>
      </c>
      <c r="Z60">
        <v>118.3</v>
      </c>
      <c r="AA60">
        <v>128.9</v>
      </c>
      <c r="AB60">
        <v>138.6</v>
      </c>
      <c r="AC60">
        <v>126.8</v>
      </c>
      <c r="AD60">
        <v>128.4</v>
      </c>
      <c r="AE60">
        <v>137.6</v>
      </c>
    </row>
    <row r="61" spans="1:31" x14ac:dyDescent="0.25">
      <c r="A61" s="1">
        <v>43070</v>
      </c>
      <c r="B61" s="2" t="s">
        <v>31</v>
      </c>
      <c r="C61">
        <v>2017</v>
      </c>
      <c r="D61" s="2" t="s">
        <v>43</v>
      </c>
      <c r="E61">
        <v>135.80000000000001</v>
      </c>
      <c r="F61">
        <v>143.30000000000001</v>
      </c>
      <c r="G61">
        <v>145.19999999999999</v>
      </c>
      <c r="H61">
        <v>141</v>
      </c>
      <c r="I61">
        <v>120.5</v>
      </c>
      <c r="J61">
        <v>141.5</v>
      </c>
      <c r="K61">
        <v>161.69999999999999</v>
      </c>
      <c r="L61">
        <v>129.1</v>
      </c>
      <c r="M61">
        <v>121.5</v>
      </c>
      <c r="N61">
        <v>137.1</v>
      </c>
      <c r="O61">
        <v>128.80000000000001</v>
      </c>
      <c r="P61">
        <v>149</v>
      </c>
      <c r="Q61">
        <v>140.5</v>
      </c>
      <c r="R61">
        <v>154.19999999999999</v>
      </c>
      <c r="S61">
        <v>143.1</v>
      </c>
      <c r="T61">
        <v>135.1</v>
      </c>
      <c r="U61">
        <v>142</v>
      </c>
      <c r="V61">
        <v>139.1</v>
      </c>
      <c r="W61">
        <v>136.6</v>
      </c>
      <c r="X61">
        <v>134.69999999999999</v>
      </c>
      <c r="Y61">
        <v>133.1</v>
      </c>
      <c r="Z61">
        <v>118.5</v>
      </c>
      <c r="AA61">
        <v>129</v>
      </c>
      <c r="AB61">
        <v>138.5</v>
      </c>
      <c r="AC61">
        <v>126.5</v>
      </c>
      <c r="AD61">
        <v>128.6</v>
      </c>
      <c r="AE61">
        <v>137.19999999999999</v>
      </c>
    </row>
    <row r="62" spans="1:31" x14ac:dyDescent="0.25">
      <c r="A62" s="1">
        <v>43101</v>
      </c>
      <c r="B62" s="2" t="s">
        <v>31</v>
      </c>
      <c r="C62">
        <v>2018</v>
      </c>
      <c r="D62" s="2" t="s">
        <v>32</v>
      </c>
      <c r="E62">
        <v>136</v>
      </c>
      <c r="F62">
        <v>144.19999999999999</v>
      </c>
      <c r="G62">
        <v>143.69999999999999</v>
      </c>
      <c r="H62">
        <v>141.1</v>
      </c>
      <c r="I62">
        <v>120.7</v>
      </c>
      <c r="J62">
        <v>141.30000000000001</v>
      </c>
      <c r="K62">
        <v>151.6</v>
      </c>
      <c r="L62">
        <v>127.3</v>
      </c>
      <c r="M62">
        <v>118.8</v>
      </c>
      <c r="N62">
        <v>137.5</v>
      </c>
      <c r="O62">
        <v>129</v>
      </c>
      <c r="P62">
        <v>149.5</v>
      </c>
      <c r="Q62">
        <v>139.19999999999999</v>
      </c>
      <c r="R62">
        <v>154.69999999999999</v>
      </c>
      <c r="S62">
        <v>143.5</v>
      </c>
      <c r="T62">
        <v>135.5</v>
      </c>
      <c r="U62">
        <v>142.30000000000001</v>
      </c>
      <c r="V62">
        <v>140.4</v>
      </c>
      <c r="W62">
        <v>136.6</v>
      </c>
      <c r="X62">
        <v>134.9</v>
      </c>
      <c r="Y62">
        <v>133.30000000000001</v>
      </c>
      <c r="Z62">
        <v>119.3</v>
      </c>
      <c r="AA62">
        <v>129.69999999999999</v>
      </c>
      <c r="AB62">
        <v>139</v>
      </c>
      <c r="AC62">
        <v>127.3</v>
      </c>
      <c r="AD62">
        <v>129.1</v>
      </c>
      <c r="AE62">
        <v>136.9</v>
      </c>
    </row>
    <row r="63" spans="1:31" x14ac:dyDescent="0.25">
      <c r="A63" s="1">
        <v>43132</v>
      </c>
      <c r="B63" s="2" t="s">
        <v>31</v>
      </c>
      <c r="C63">
        <v>2018</v>
      </c>
      <c r="D63" s="2" t="s">
        <v>33</v>
      </c>
      <c r="E63">
        <v>135.9</v>
      </c>
      <c r="F63">
        <v>143.5</v>
      </c>
      <c r="G63">
        <v>140.30000000000001</v>
      </c>
      <c r="H63">
        <v>140.9</v>
      </c>
      <c r="I63">
        <v>120.4</v>
      </c>
      <c r="J63">
        <v>142.9</v>
      </c>
      <c r="K63">
        <v>140.5</v>
      </c>
      <c r="L63">
        <v>125.8</v>
      </c>
      <c r="M63">
        <v>117.1</v>
      </c>
      <c r="N63">
        <v>137.30000000000001</v>
      </c>
      <c r="O63">
        <v>128.6</v>
      </c>
      <c r="P63">
        <v>149.6</v>
      </c>
      <c r="Q63">
        <v>137.6</v>
      </c>
      <c r="R63">
        <v>154.9</v>
      </c>
      <c r="S63">
        <v>143.80000000000001</v>
      </c>
      <c r="T63">
        <v>135.6</v>
      </c>
      <c r="U63">
        <v>142.6</v>
      </c>
      <c r="V63">
        <v>141.30000000000001</v>
      </c>
      <c r="W63">
        <v>136.69999999999999</v>
      </c>
      <c r="X63">
        <v>135.19999999999999</v>
      </c>
      <c r="Y63">
        <v>133.80000000000001</v>
      </c>
      <c r="Z63">
        <v>120.2</v>
      </c>
      <c r="AA63">
        <v>129.9</v>
      </c>
      <c r="AB63">
        <v>139</v>
      </c>
      <c r="AC63">
        <v>127.7</v>
      </c>
      <c r="AD63">
        <v>129.6</v>
      </c>
      <c r="AE63">
        <v>136.4</v>
      </c>
    </row>
    <row r="64" spans="1:31" x14ac:dyDescent="0.25">
      <c r="A64" s="1">
        <v>43160</v>
      </c>
      <c r="B64" s="2" t="s">
        <v>31</v>
      </c>
      <c r="C64">
        <v>2018</v>
      </c>
      <c r="D64" s="2" t="s">
        <v>34</v>
      </c>
      <c r="E64">
        <v>136.19999999999999</v>
      </c>
      <c r="F64">
        <v>143.6</v>
      </c>
      <c r="G64">
        <v>138.30000000000001</v>
      </c>
      <c r="H64">
        <v>141.19999999999999</v>
      </c>
      <c r="I64">
        <v>120.7</v>
      </c>
      <c r="J64">
        <v>146.19999999999999</v>
      </c>
      <c r="K64">
        <v>134.6</v>
      </c>
      <c r="L64">
        <v>124.6</v>
      </c>
      <c r="M64">
        <v>116.1</v>
      </c>
      <c r="N64">
        <v>137.80000000000001</v>
      </c>
      <c r="O64">
        <v>129.1</v>
      </c>
      <c r="P64">
        <v>150.4</v>
      </c>
      <c r="Q64">
        <v>137.19999999999999</v>
      </c>
      <c r="R64">
        <v>156.30000000000001</v>
      </c>
      <c r="S64">
        <v>144.30000000000001</v>
      </c>
      <c r="T64">
        <v>136.19999999999999</v>
      </c>
      <c r="U64">
        <v>143.1</v>
      </c>
      <c r="V64">
        <v>142</v>
      </c>
      <c r="W64">
        <v>136.5</v>
      </c>
      <c r="X64">
        <v>135.6</v>
      </c>
      <c r="Y64">
        <v>134.30000000000001</v>
      </c>
      <c r="Z64">
        <v>121</v>
      </c>
      <c r="AA64">
        <v>130.4</v>
      </c>
      <c r="AB64">
        <v>139.80000000000001</v>
      </c>
      <c r="AC64">
        <v>128.19999999999999</v>
      </c>
      <c r="AD64">
        <v>130.30000000000001</v>
      </c>
      <c r="AE64">
        <v>136.5</v>
      </c>
    </row>
    <row r="65" spans="1:31" x14ac:dyDescent="0.25">
      <c r="A65" s="1">
        <v>43191</v>
      </c>
      <c r="B65" s="2" t="s">
        <v>31</v>
      </c>
      <c r="C65">
        <v>2018</v>
      </c>
      <c r="D65" s="2" t="s">
        <v>35</v>
      </c>
      <c r="E65">
        <v>136.4</v>
      </c>
      <c r="F65">
        <v>144.4</v>
      </c>
      <c r="G65">
        <v>133.9</v>
      </c>
      <c r="H65">
        <v>141.6</v>
      </c>
      <c r="I65">
        <v>121</v>
      </c>
      <c r="J65">
        <v>153.5</v>
      </c>
      <c r="K65">
        <v>132.6</v>
      </c>
      <c r="L65">
        <v>123.5</v>
      </c>
      <c r="M65">
        <v>113.7</v>
      </c>
      <c r="N65">
        <v>138.19999999999999</v>
      </c>
      <c r="O65">
        <v>129.6</v>
      </c>
      <c r="P65">
        <v>151.19999999999999</v>
      </c>
      <c r="Q65">
        <v>137.5</v>
      </c>
      <c r="R65">
        <v>156.9</v>
      </c>
      <c r="S65">
        <v>145.30000000000001</v>
      </c>
      <c r="T65">
        <v>136.69999999999999</v>
      </c>
      <c r="U65">
        <v>144</v>
      </c>
      <c r="V65">
        <v>142.9</v>
      </c>
      <c r="W65">
        <v>136.5</v>
      </c>
      <c r="X65">
        <v>136.6</v>
      </c>
      <c r="Y65">
        <v>135.19999999999999</v>
      </c>
      <c r="Z65">
        <v>121.9</v>
      </c>
      <c r="AA65">
        <v>131.30000000000001</v>
      </c>
      <c r="AB65">
        <v>141.4</v>
      </c>
      <c r="AC65">
        <v>129.19999999999999</v>
      </c>
      <c r="AD65">
        <v>131.30000000000001</v>
      </c>
      <c r="AE65">
        <v>137.1</v>
      </c>
    </row>
    <row r="66" spans="1:31" x14ac:dyDescent="0.25">
      <c r="A66" s="1">
        <v>43221</v>
      </c>
      <c r="B66" s="2" t="s">
        <v>31</v>
      </c>
      <c r="C66">
        <v>2018</v>
      </c>
      <c r="D66" s="2" t="s">
        <v>36</v>
      </c>
      <c r="E66">
        <v>136.6</v>
      </c>
      <c r="F66">
        <v>146.6</v>
      </c>
      <c r="G66">
        <v>133.6</v>
      </c>
      <c r="H66">
        <v>142.1</v>
      </c>
      <c r="I66">
        <v>121</v>
      </c>
      <c r="J66">
        <v>154.6</v>
      </c>
      <c r="K66">
        <v>135.6</v>
      </c>
      <c r="L66">
        <v>122.3</v>
      </c>
      <c r="M66">
        <v>109.6</v>
      </c>
      <c r="N66">
        <v>138.1</v>
      </c>
      <c r="O66">
        <v>129.9</v>
      </c>
      <c r="P66">
        <v>151.69999999999999</v>
      </c>
      <c r="Q66">
        <v>138.1</v>
      </c>
      <c r="R66">
        <v>157.9</v>
      </c>
      <c r="S66">
        <v>146</v>
      </c>
      <c r="T66">
        <v>137.4</v>
      </c>
      <c r="U66">
        <v>144.69999999999999</v>
      </c>
      <c r="V66">
        <v>143.19999999999999</v>
      </c>
      <c r="W66">
        <v>136.9</v>
      </c>
      <c r="X66">
        <v>137.4</v>
      </c>
      <c r="Y66">
        <v>136</v>
      </c>
      <c r="Z66">
        <v>122.9</v>
      </c>
      <c r="AA66">
        <v>131.80000000000001</v>
      </c>
      <c r="AB66">
        <v>142.1</v>
      </c>
      <c r="AC66">
        <v>129.9</v>
      </c>
      <c r="AD66">
        <v>132.1</v>
      </c>
      <c r="AE66">
        <v>137.80000000000001</v>
      </c>
    </row>
    <row r="67" spans="1:31" x14ac:dyDescent="0.25">
      <c r="A67" s="1">
        <v>43252</v>
      </c>
      <c r="B67" s="2" t="s">
        <v>31</v>
      </c>
      <c r="C67">
        <v>2018</v>
      </c>
      <c r="D67" s="2" t="s">
        <v>37</v>
      </c>
      <c r="E67">
        <v>136.9</v>
      </c>
      <c r="F67">
        <v>148.69999999999999</v>
      </c>
      <c r="G67">
        <v>135.6</v>
      </c>
      <c r="H67">
        <v>142.30000000000001</v>
      </c>
      <c r="I67">
        <v>121.3</v>
      </c>
      <c r="J67">
        <v>153.19999999999999</v>
      </c>
      <c r="K67">
        <v>143.69999999999999</v>
      </c>
      <c r="L67">
        <v>121.4</v>
      </c>
      <c r="M67">
        <v>111.1</v>
      </c>
      <c r="N67">
        <v>138.4</v>
      </c>
      <c r="O67">
        <v>130.30000000000001</v>
      </c>
      <c r="P67">
        <v>151.80000000000001</v>
      </c>
      <c r="Q67">
        <v>139.4</v>
      </c>
      <c r="R67">
        <v>158.30000000000001</v>
      </c>
      <c r="S67">
        <v>146.4</v>
      </c>
      <c r="T67">
        <v>138.1</v>
      </c>
      <c r="U67">
        <v>145.19999999999999</v>
      </c>
      <c r="V67">
        <v>142.5</v>
      </c>
      <c r="W67">
        <v>138.1</v>
      </c>
      <c r="X67">
        <v>137.9</v>
      </c>
      <c r="Y67">
        <v>136.19999999999999</v>
      </c>
      <c r="Z67">
        <v>123.7</v>
      </c>
      <c r="AA67">
        <v>132.6</v>
      </c>
      <c r="AB67">
        <v>142.80000000000001</v>
      </c>
      <c r="AC67">
        <v>130.1</v>
      </c>
      <c r="AD67">
        <v>132.6</v>
      </c>
      <c r="AE67">
        <v>138.5</v>
      </c>
    </row>
    <row r="68" spans="1:31" x14ac:dyDescent="0.25">
      <c r="A68" s="1">
        <v>43282</v>
      </c>
      <c r="B68" s="2" t="s">
        <v>31</v>
      </c>
      <c r="C68">
        <v>2018</v>
      </c>
      <c r="D68" s="2" t="s">
        <v>38</v>
      </c>
      <c r="E68">
        <v>137.5</v>
      </c>
      <c r="F68">
        <v>149.1</v>
      </c>
      <c r="G68">
        <v>139.19999999999999</v>
      </c>
      <c r="H68">
        <v>142.5</v>
      </c>
      <c r="I68">
        <v>121.4</v>
      </c>
      <c r="J68">
        <v>151.6</v>
      </c>
      <c r="K68">
        <v>155.9</v>
      </c>
      <c r="L68">
        <v>121.7</v>
      </c>
      <c r="M68">
        <v>113.5</v>
      </c>
      <c r="N68">
        <v>138.9</v>
      </c>
      <c r="O68">
        <v>130.30000000000001</v>
      </c>
      <c r="P68">
        <v>152.30000000000001</v>
      </c>
      <c r="Q68">
        <v>141.4</v>
      </c>
      <c r="R68">
        <v>157.5</v>
      </c>
      <c r="S68">
        <v>146.80000000000001</v>
      </c>
      <c r="T68">
        <v>138.4</v>
      </c>
      <c r="U68">
        <v>145.6</v>
      </c>
      <c r="V68">
        <v>143.6</v>
      </c>
      <c r="W68">
        <v>139.69999999999999</v>
      </c>
      <c r="X68">
        <v>138.6</v>
      </c>
      <c r="Y68">
        <v>137</v>
      </c>
      <c r="Z68">
        <v>123.6</v>
      </c>
      <c r="AA68">
        <v>133.1</v>
      </c>
      <c r="AB68">
        <v>144.69999999999999</v>
      </c>
      <c r="AC68">
        <v>130.1</v>
      </c>
      <c r="AD68">
        <v>133.19999999999999</v>
      </c>
      <c r="AE68">
        <v>139.80000000000001</v>
      </c>
    </row>
    <row r="69" spans="1:31" x14ac:dyDescent="0.25">
      <c r="A69" s="1">
        <v>43313</v>
      </c>
      <c r="B69" s="2" t="s">
        <v>31</v>
      </c>
      <c r="C69">
        <v>2018</v>
      </c>
      <c r="D69" s="2" t="s">
        <v>39</v>
      </c>
      <c r="E69">
        <v>138.30000000000001</v>
      </c>
      <c r="F69">
        <v>148</v>
      </c>
      <c r="G69">
        <v>138.1</v>
      </c>
      <c r="H69">
        <v>142.6</v>
      </c>
      <c r="I69">
        <v>122.2</v>
      </c>
      <c r="J69">
        <v>150.6</v>
      </c>
      <c r="K69">
        <v>156.6</v>
      </c>
      <c r="L69">
        <v>122.4</v>
      </c>
      <c r="M69">
        <v>114.7</v>
      </c>
      <c r="N69">
        <v>139.4</v>
      </c>
      <c r="O69">
        <v>131.1</v>
      </c>
      <c r="P69">
        <v>153</v>
      </c>
      <c r="Q69">
        <v>141.69999999999999</v>
      </c>
      <c r="R69">
        <v>157.9</v>
      </c>
      <c r="S69">
        <v>147.30000000000001</v>
      </c>
      <c r="T69">
        <v>138.80000000000001</v>
      </c>
      <c r="U69">
        <v>146.1</v>
      </c>
      <c r="V69">
        <v>144.6</v>
      </c>
      <c r="W69">
        <v>140.9</v>
      </c>
      <c r="X69">
        <v>139.4</v>
      </c>
      <c r="Y69">
        <v>137.69999999999999</v>
      </c>
      <c r="Z69">
        <v>124.3</v>
      </c>
      <c r="AA69">
        <v>133.6</v>
      </c>
      <c r="AB69">
        <v>146</v>
      </c>
      <c r="AC69">
        <v>130.1</v>
      </c>
      <c r="AD69">
        <v>133.9</v>
      </c>
      <c r="AE69">
        <v>140.4</v>
      </c>
    </row>
    <row r="70" spans="1:31" x14ac:dyDescent="0.25">
      <c r="A70" s="1">
        <v>43344</v>
      </c>
      <c r="B70" s="2" t="s">
        <v>31</v>
      </c>
      <c r="C70">
        <v>2018</v>
      </c>
      <c r="D70" s="2" t="s">
        <v>40</v>
      </c>
      <c r="E70">
        <v>138.6</v>
      </c>
      <c r="F70">
        <v>145.80000000000001</v>
      </c>
      <c r="G70">
        <v>135.1</v>
      </c>
      <c r="H70">
        <v>142.9</v>
      </c>
      <c r="I70">
        <v>122.1</v>
      </c>
      <c r="J70">
        <v>145.4</v>
      </c>
      <c r="K70">
        <v>150</v>
      </c>
      <c r="L70">
        <v>121.4</v>
      </c>
      <c r="M70">
        <v>113.7</v>
      </c>
      <c r="N70">
        <v>139.5</v>
      </c>
      <c r="O70">
        <v>130.80000000000001</v>
      </c>
      <c r="P70">
        <v>153.80000000000001</v>
      </c>
      <c r="Q70">
        <v>140.4</v>
      </c>
      <c r="R70">
        <v>159.19999999999999</v>
      </c>
      <c r="S70">
        <v>147.69999999999999</v>
      </c>
      <c r="T70">
        <v>139.1</v>
      </c>
      <c r="U70">
        <v>146.5</v>
      </c>
      <c r="V70">
        <v>145.30000000000001</v>
      </c>
      <c r="W70">
        <v>142.30000000000001</v>
      </c>
      <c r="X70">
        <v>139.69999999999999</v>
      </c>
      <c r="Y70">
        <v>138.4</v>
      </c>
      <c r="Z70">
        <v>126</v>
      </c>
      <c r="AA70">
        <v>134.5</v>
      </c>
      <c r="AB70">
        <v>146.19999999999999</v>
      </c>
      <c r="AC70">
        <v>130.9</v>
      </c>
      <c r="AD70">
        <v>134.69999999999999</v>
      </c>
      <c r="AE70">
        <v>140.19999999999999</v>
      </c>
    </row>
    <row r="71" spans="1:31" x14ac:dyDescent="0.25">
      <c r="A71" s="1">
        <v>43374</v>
      </c>
      <c r="B71" s="2" t="s">
        <v>31</v>
      </c>
      <c r="C71">
        <v>2018</v>
      </c>
      <c r="D71" s="2" t="s">
        <v>41</v>
      </c>
      <c r="E71">
        <v>137.4</v>
      </c>
      <c r="F71">
        <v>149.5</v>
      </c>
      <c r="G71">
        <v>137.30000000000001</v>
      </c>
      <c r="H71">
        <v>141.9</v>
      </c>
      <c r="I71">
        <v>121.1</v>
      </c>
      <c r="J71">
        <v>142.5</v>
      </c>
      <c r="K71">
        <v>146.69999999999999</v>
      </c>
      <c r="L71">
        <v>119.1</v>
      </c>
      <c r="M71">
        <v>111.9</v>
      </c>
      <c r="N71">
        <v>141</v>
      </c>
      <c r="O71">
        <v>133.6</v>
      </c>
      <c r="P71">
        <v>154.5</v>
      </c>
      <c r="Q71">
        <v>139.69999999999999</v>
      </c>
      <c r="R71">
        <v>162.6</v>
      </c>
      <c r="S71">
        <v>148</v>
      </c>
      <c r="T71">
        <v>139.19999999999999</v>
      </c>
      <c r="U71">
        <v>146.80000000000001</v>
      </c>
      <c r="V71">
        <v>146.9</v>
      </c>
      <c r="W71">
        <v>145.30000000000001</v>
      </c>
      <c r="X71">
        <v>142.19999999999999</v>
      </c>
      <c r="Y71">
        <v>142.1</v>
      </c>
      <c r="Z71">
        <v>125.5</v>
      </c>
      <c r="AA71">
        <v>136.5</v>
      </c>
      <c r="AB71">
        <v>147.80000000000001</v>
      </c>
      <c r="AC71">
        <v>132</v>
      </c>
      <c r="AD71">
        <v>136.30000000000001</v>
      </c>
      <c r="AE71">
        <v>140.80000000000001</v>
      </c>
    </row>
    <row r="72" spans="1:31" x14ac:dyDescent="0.25">
      <c r="A72" s="1">
        <v>43405</v>
      </c>
      <c r="B72" s="2" t="s">
        <v>31</v>
      </c>
      <c r="C72">
        <v>2018</v>
      </c>
      <c r="D72" s="2" t="s">
        <v>42</v>
      </c>
      <c r="E72">
        <v>137.4</v>
      </c>
      <c r="F72">
        <v>149.19999999999999</v>
      </c>
      <c r="G72">
        <v>137.1</v>
      </c>
      <c r="H72">
        <v>141.80000000000001</v>
      </c>
      <c r="I72">
        <v>121.1</v>
      </c>
      <c r="J72">
        <v>142.80000000000001</v>
      </c>
      <c r="K72">
        <v>146.69999999999999</v>
      </c>
      <c r="L72">
        <v>119.1</v>
      </c>
      <c r="M72">
        <v>111.9</v>
      </c>
      <c r="N72">
        <v>140.9</v>
      </c>
      <c r="O72">
        <v>133.5</v>
      </c>
      <c r="P72">
        <v>154.5</v>
      </c>
      <c r="Q72">
        <v>139.69999999999999</v>
      </c>
      <c r="R72">
        <v>162.6</v>
      </c>
      <c r="S72">
        <v>148</v>
      </c>
      <c r="T72">
        <v>139.1</v>
      </c>
      <c r="U72">
        <v>146.69999999999999</v>
      </c>
      <c r="V72">
        <v>146.9</v>
      </c>
      <c r="W72">
        <v>145.1</v>
      </c>
      <c r="X72">
        <v>142.19999999999999</v>
      </c>
      <c r="Y72">
        <v>142.1</v>
      </c>
      <c r="Z72">
        <v>125.5</v>
      </c>
      <c r="AA72">
        <v>136.5</v>
      </c>
      <c r="AB72">
        <v>147.80000000000001</v>
      </c>
      <c r="AC72">
        <v>132</v>
      </c>
      <c r="AD72">
        <v>136.30000000000001</v>
      </c>
      <c r="AE72">
        <v>140.80000000000001</v>
      </c>
    </row>
    <row r="73" spans="1:31" x14ac:dyDescent="0.25">
      <c r="A73" s="1">
        <v>43435</v>
      </c>
      <c r="B73" s="2" t="s">
        <v>31</v>
      </c>
      <c r="C73">
        <v>2018</v>
      </c>
      <c r="D73" s="2" t="s">
        <v>43</v>
      </c>
      <c r="E73">
        <v>137.5</v>
      </c>
      <c r="F73">
        <v>150.5</v>
      </c>
      <c r="G73">
        <v>138.80000000000001</v>
      </c>
      <c r="H73">
        <v>142.1</v>
      </c>
      <c r="I73">
        <v>122</v>
      </c>
      <c r="J73">
        <v>139.4</v>
      </c>
      <c r="K73">
        <v>135.19999999999999</v>
      </c>
      <c r="L73">
        <v>119.8</v>
      </c>
      <c r="M73">
        <v>110.3</v>
      </c>
      <c r="N73">
        <v>140.6</v>
      </c>
      <c r="O73">
        <v>133.80000000000001</v>
      </c>
      <c r="P73">
        <v>154.6</v>
      </c>
      <c r="Q73">
        <v>138.19999999999999</v>
      </c>
      <c r="R73">
        <v>163</v>
      </c>
      <c r="S73">
        <v>148.1</v>
      </c>
      <c r="T73">
        <v>139.4</v>
      </c>
      <c r="U73">
        <v>146.80000000000001</v>
      </c>
      <c r="V73">
        <v>146.5</v>
      </c>
      <c r="W73">
        <v>142.69999999999999</v>
      </c>
      <c r="X73">
        <v>143.19999999999999</v>
      </c>
      <c r="Y73">
        <v>144.9</v>
      </c>
      <c r="Z73">
        <v>123.6</v>
      </c>
      <c r="AA73">
        <v>136.80000000000001</v>
      </c>
      <c r="AB73">
        <v>150.1</v>
      </c>
      <c r="AC73">
        <v>132.19999999999999</v>
      </c>
      <c r="AD73">
        <v>136.80000000000001</v>
      </c>
      <c r="AE73">
        <v>140.1</v>
      </c>
    </row>
    <row r="74" spans="1:31" x14ac:dyDescent="0.25">
      <c r="A74" s="1">
        <v>43466</v>
      </c>
      <c r="B74" s="2" t="s">
        <v>31</v>
      </c>
      <c r="C74">
        <v>2019</v>
      </c>
      <c r="D74" s="2" t="s">
        <v>32</v>
      </c>
      <c r="E74">
        <v>137.1</v>
      </c>
      <c r="F74">
        <v>151.4</v>
      </c>
      <c r="G74">
        <v>140.19999999999999</v>
      </c>
      <c r="H74">
        <v>142.1</v>
      </c>
      <c r="I74">
        <v>121.8</v>
      </c>
      <c r="J74">
        <v>135.4</v>
      </c>
      <c r="K74">
        <v>131.30000000000001</v>
      </c>
      <c r="L74">
        <v>120.3</v>
      </c>
      <c r="M74">
        <v>109.1</v>
      </c>
      <c r="N74">
        <v>139.4</v>
      </c>
      <c r="O74">
        <v>133.30000000000001</v>
      </c>
      <c r="P74">
        <v>154.6</v>
      </c>
      <c r="Q74">
        <v>137.4</v>
      </c>
      <c r="R74">
        <v>163.19999999999999</v>
      </c>
      <c r="S74">
        <v>147.6</v>
      </c>
      <c r="T74">
        <v>139</v>
      </c>
      <c r="U74">
        <v>146.4</v>
      </c>
      <c r="V74">
        <v>147.69999999999999</v>
      </c>
      <c r="W74">
        <v>139.5</v>
      </c>
      <c r="X74">
        <v>143.6</v>
      </c>
      <c r="Y74">
        <v>145.1</v>
      </c>
      <c r="Z74">
        <v>123.3</v>
      </c>
      <c r="AA74">
        <v>136.69999999999999</v>
      </c>
      <c r="AB74">
        <v>150.19999999999999</v>
      </c>
      <c r="AC74">
        <v>132.80000000000001</v>
      </c>
      <c r="AD74">
        <v>136.9</v>
      </c>
      <c r="AE74">
        <v>139.6</v>
      </c>
    </row>
    <row r="75" spans="1:31" x14ac:dyDescent="0.25">
      <c r="A75" s="1">
        <v>43497</v>
      </c>
      <c r="B75" s="2" t="s">
        <v>31</v>
      </c>
      <c r="C75">
        <v>2019</v>
      </c>
      <c r="D75" s="2" t="s">
        <v>33</v>
      </c>
      <c r="E75">
        <v>137.6</v>
      </c>
      <c r="F75">
        <v>152</v>
      </c>
      <c r="G75">
        <v>141.5</v>
      </c>
      <c r="H75">
        <v>142.19999999999999</v>
      </c>
      <c r="I75">
        <v>122</v>
      </c>
      <c r="J75">
        <v>136.4</v>
      </c>
      <c r="K75">
        <v>129.69999999999999</v>
      </c>
      <c r="L75">
        <v>121</v>
      </c>
      <c r="M75">
        <v>109</v>
      </c>
      <c r="N75">
        <v>139.69999999999999</v>
      </c>
      <c r="O75">
        <v>133.6</v>
      </c>
      <c r="P75">
        <v>154.9</v>
      </c>
      <c r="Q75">
        <v>137.5</v>
      </c>
      <c r="R75">
        <v>163.4</v>
      </c>
      <c r="S75">
        <v>147.69999999999999</v>
      </c>
      <c r="T75">
        <v>139.69999999999999</v>
      </c>
      <c r="U75">
        <v>146.5</v>
      </c>
      <c r="V75">
        <v>148.5</v>
      </c>
      <c r="W75">
        <v>138.4</v>
      </c>
      <c r="X75">
        <v>143.69999999999999</v>
      </c>
      <c r="Y75">
        <v>145.6</v>
      </c>
      <c r="Z75">
        <v>123.9</v>
      </c>
      <c r="AA75">
        <v>137.1</v>
      </c>
      <c r="AB75">
        <v>150.30000000000001</v>
      </c>
      <c r="AC75">
        <v>134.1</v>
      </c>
      <c r="AD75">
        <v>137.4</v>
      </c>
      <c r="AE75">
        <v>139.9</v>
      </c>
    </row>
    <row r="76" spans="1:31" x14ac:dyDescent="0.25">
      <c r="A76" s="1">
        <v>43525</v>
      </c>
      <c r="B76" s="2" t="s">
        <v>31</v>
      </c>
      <c r="C76">
        <v>2019</v>
      </c>
      <c r="D76" s="2" t="s">
        <v>34</v>
      </c>
      <c r="E76">
        <v>137.80000000000001</v>
      </c>
      <c r="F76">
        <v>153</v>
      </c>
      <c r="G76">
        <v>140.30000000000001</v>
      </c>
      <c r="H76">
        <v>142.30000000000001</v>
      </c>
      <c r="I76">
        <v>122</v>
      </c>
      <c r="J76">
        <v>137.6</v>
      </c>
      <c r="K76">
        <v>132.6</v>
      </c>
      <c r="L76">
        <v>121.8</v>
      </c>
      <c r="M76">
        <v>109</v>
      </c>
      <c r="N76">
        <v>139.5</v>
      </c>
      <c r="O76">
        <v>133.69999999999999</v>
      </c>
      <c r="P76">
        <v>155.19999999999999</v>
      </c>
      <c r="Q76">
        <v>138.1</v>
      </c>
      <c r="R76">
        <v>163.5</v>
      </c>
      <c r="S76">
        <v>147.9</v>
      </c>
      <c r="T76">
        <v>139.9</v>
      </c>
      <c r="U76">
        <v>146.69999999999999</v>
      </c>
      <c r="V76">
        <v>149</v>
      </c>
      <c r="W76">
        <v>139.69999999999999</v>
      </c>
      <c r="X76">
        <v>143.80000000000001</v>
      </c>
      <c r="Y76">
        <v>146.19999999999999</v>
      </c>
      <c r="Z76">
        <v>124.6</v>
      </c>
      <c r="AA76">
        <v>137.69999999999999</v>
      </c>
      <c r="AB76">
        <v>150.30000000000001</v>
      </c>
      <c r="AC76">
        <v>133.4</v>
      </c>
      <c r="AD76">
        <v>137.69999999999999</v>
      </c>
      <c r="AE76">
        <v>140.4</v>
      </c>
    </row>
    <row r="77" spans="1:31" x14ac:dyDescent="0.25">
      <c r="A77" s="1">
        <v>43556</v>
      </c>
      <c r="B77" s="2" t="s">
        <v>31</v>
      </c>
      <c r="C77">
        <v>2019</v>
      </c>
      <c r="D77" s="2" t="s">
        <v>35</v>
      </c>
    </row>
    <row r="78" spans="1:31" x14ac:dyDescent="0.25">
      <c r="A78" s="1">
        <v>43586</v>
      </c>
      <c r="B78" s="2" t="s">
        <v>31</v>
      </c>
      <c r="C78">
        <v>2019</v>
      </c>
      <c r="D78" s="2" t="s">
        <v>36</v>
      </c>
      <c r="E78">
        <v>138.30000000000001</v>
      </c>
      <c r="F78">
        <v>158.5</v>
      </c>
      <c r="G78">
        <v>136</v>
      </c>
      <c r="H78">
        <v>142.5</v>
      </c>
      <c r="I78">
        <v>122</v>
      </c>
      <c r="J78">
        <v>146.5</v>
      </c>
      <c r="K78">
        <v>143</v>
      </c>
      <c r="L78">
        <v>124.9</v>
      </c>
      <c r="M78">
        <v>109.9</v>
      </c>
      <c r="N78">
        <v>139.9</v>
      </c>
      <c r="O78">
        <v>134</v>
      </c>
      <c r="P78">
        <v>155.5</v>
      </c>
      <c r="Q78">
        <v>140.9</v>
      </c>
      <c r="R78">
        <v>164.1</v>
      </c>
      <c r="S78">
        <v>148.4</v>
      </c>
      <c r="T78">
        <v>140.4</v>
      </c>
      <c r="U78">
        <v>147.30000000000001</v>
      </c>
      <c r="V78">
        <v>150.1</v>
      </c>
      <c r="W78">
        <v>140.30000000000001</v>
      </c>
      <c r="X78">
        <v>143.69999999999999</v>
      </c>
      <c r="Y78">
        <v>146.9</v>
      </c>
      <c r="Z78">
        <v>124.9</v>
      </c>
      <c r="AA78">
        <v>139.19999999999999</v>
      </c>
      <c r="AB78">
        <v>151.6</v>
      </c>
      <c r="AC78">
        <v>133.4</v>
      </c>
      <c r="AD78">
        <v>138.19999999999999</v>
      </c>
      <c r="AE78">
        <v>142</v>
      </c>
    </row>
    <row r="79" spans="1:31" x14ac:dyDescent="0.25">
      <c r="A79" s="1">
        <v>43617</v>
      </c>
      <c r="B79" s="2" t="s">
        <v>31</v>
      </c>
      <c r="C79">
        <v>2019</v>
      </c>
      <c r="D79" s="2" t="s">
        <v>37</v>
      </c>
      <c r="E79">
        <v>138.69999999999999</v>
      </c>
      <c r="F79">
        <v>162.1</v>
      </c>
      <c r="G79">
        <v>137.80000000000001</v>
      </c>
      <c r="H79">
        <v>143.30000000000001</v>
      </c>
      <c r="I79">
        <v>122.2</v>
      </c>
      <c r="J79">
        <v>146.80000000000001</v>
      </c>
      <c r="K79">
        <v>150.5</v>
      </c>
      <c r="L79">
        <v>128.30000000000001</v>
      </c>
      <c r="M79">
        <v>111</v>
      </c>
      <c r="N79">
        <v>140.6</v>
      </c>
      <c r="O79">
        <v>134.19999999999999</v>
      </c>
      <c r="P79">
        <v>155.9</v>
      </c>
      <c r="Q79">
        <v>142.69999999999999</v>
      </c>
      <c r="R79">
        <v>164.9</v>
      </c>
      <c r="S79">
        <v>148.6</v>
      </c>
      <c r="T79">
        <v>140.4</v>
      </c>
      <c r="U79">
        <v>147.4</v>
      </c>
      <c r="V79">
        <v>149.4</v>
      </c>
      <c r="W79">
        <v>141.19999999999999</v>
      </c>
      <c r="X79">
        <v>143.80000000000001</v>
      </c>
      <c r="Y79">
        <v>147.4</v>
      </c>
      <c r="Z79">
        <v>124.6</v>
      </c>
      <c r="AA79">
        <v>139.6</v>
      </c>
      <c r="AB79">
        <v>152.5</v>
      </c>
      <c r="AC79">
        <v>134.30000000000001</v>
      </c>
      <c r="AD79">
        <v>138.6</v>
      </c>
      <c r="AE79">
        <v>142.9</v>
      </c>
    </row>
    <row r="80" spans="1:31" x14ac:dyDescent="0.25">
      <c r="A80" s="1">
        <v>43647</v>
      </c>
      <c r="B80" s="2" t="s">
        <v>31</v>
      </c>
      <c r="C80">
        <v>2019</v>
      </c>
      <c r="D80" s="2" t="s">
        <v>38</v>
      </c>
      <c r="E80">
        <v>139.30000000000001</v>
      </c>
      <c r="F80">
        <v>162.69999999999999</v>
      </c>
      <c r="G80">
        <v>140</v>
      </c>
      <c r="H80">
        <v>144</v>
      </c>
      <c r="I80">
        <v>122.5</v>
      </c>
      <c r="J80">
        <v>150.30000000000001</v>
      </c>
      <c r="K80">
        <v>160.30000000000001</v>
      </c>
      <c r="L80">
        <v>130</v>
      </c>
      <c r="M80">
        <v>111.1</v>
      </c>
      <c r="N80">
        <v>141.69999999999999</v>
      </c>
      <c r="O80">
        <v>134.69999999999999</v>
      </c>
      <c r="P80">
        <v>156.19999999999999</v>
      </c>
      <c r="Q80">
        <v>144.69999999999999</v>
      </c>
      <c r="R80">
        <v>165.2</v>
      </c>
      <c r="S80">
        <v>148.9</v>
      </c>
      <c r="T80">
        <v>140.5</v>
      </c>
      <c r="U80">
        <v>147.6</v>
      </c>
      <c r="V80">
        <v>150.6</v>
      </c>
      <c r="W80">
        <v>139.30000000000001</v>
      </c>
      <c r="X80">
        <v>144.19999999999999</v>
      </c>
      <c r="Y80">
        <v>147.9</v>
      </c>
      <c r="Z80">
        <v>125.6</v>
      </c>
      <c r="AA80">
        <v>140.5</v>
      </c>
      <c r="AB80">
        <v>154</v>
      </c>
      <c r="AC80">
        <v>135.69999999999999</v>
      </c>
      <c r="AD80">
        <v>139.5</v>
      </c>
      <c r="AE80">
        <v>144.19999999999999</v>
      </c>
    </row>
    <row r="81" spans="1:31" x14ac:dyDescent="0.25">
      <c r="A81" s="1">
        <v>43678</v>
      </c>
      <c r="B81" s="2" t="s">
        <v>31</v>
      </c>
      <c r="C81">
        <v>2019</v>
      </c>
      <c r="D81" s="2" t="s">
        <v>39</v>
      </c>
      <c r="E81">
        <v>140.1</v>
      </c>
      <c r="F81">
        <v>160.6</v>
      </c>
      <c r="G81">
        <v>138.5</v>
      </c>
      <c r="H81">
        <v>144.69999999999999</v>
      </c>
      <c r="I81">
        <v>122.9</v>
      </c>
      <c r="J81">
        <v>149.4</v>
      </c>
      <c r="K81">
        <v>167.4</v>
      </c>
      <c r="L81">
        <v>130.9</v>
      </c>
      <c r="M81">
        <v>112</v>
      </c>
      <c r="N81">
        <v>142.6</v>
      </c>
      <c r="O81">
        <v>134.9</v>
      </c>
      <c r="P81">
        <v>156.6</v>
      </c>
      <c r="Q81">
        <v>145.9</v>
      </c>
      <c r="R81">
        <v>165.8</v>
      </c>
      <c r="S81">
        <v>149.1</v>
      </c>
      <c r="T81">
        <v>140.6</v>
      </c>
      <c r="U81">
        <v>147.9</v>
      </c>
      <c r="V81">
        <v>151.6</v>
      </c>
      <c r="W81">
        <v>138.5</v>
      </c>
      <c r="X81">
        <v>144.5</v>
      </c>
      <c r="Y81">
        <v>148.5</v>
      </c>
      <c r="Z81">
        <v>125.8</v>
      </c>
      <c r="AA81">
        <v>140.9</v>
      </c>
      <c r="AB81">
        <v>154.9</v>
      </c>
      <c r="AC81">
        <v>138.4</v>
      </c>
      <c r="AD81">
        <v>140.19999999999999</v>
      </c>
      <c r="AE81">
        <v>145</v>
      </c>
    </row>
    <row r="82" spans="1:31" x14ac:dyDescent="0.25">
      <c r="A82" s="1">
        <v>43709</v>
      </c>
      <c r="B82" s="2" t="s">
        <v>31</v>
      </c>
      <c r="C82">
        <v>2019</v>
      </c>
      <c r="D82" s="2" t="s">
        <v>40</v>
      </c>
      <c r="E82">
        <v>140.9</v>
      </c>
      <c r="F82">
        <v>160.80000000000001</v>
      </c>
      <c r="G82">
        <v>139.6</v>
      </c>
      <c r="H82">
        <v>145.4</v>
      </c>
      <c r="I82">
        <v>123.5</v>
      </c>
      <c r="J82">
        <v>146.6</v>
      </c>
      <c r="K82">
        <v>173.2</v>
      </c>
      <c r="L82">
        <v>131.6</v>
      </c>
      <c r="M82">
        <v>113.2</v>
      </c>
      <c r="N82">
        <v>144.1</v>
      </c>
      <c r="O82">
        <v>135</v>
      </c>
      <c r="P82">
        <v>156.80000000000001</v>
      </c>
      <c r="Q82">
        <v>147</v>
      </c>
      <c r="R82">
        <v>166.5</v>
      </c>
      <c r="S82">
        <v>149.19999999999999</v>
      </c>
      <c r="T82">
        <v>140.6</v>
      </c>
      <c r="U82">
        <v>147.9</v>
      </c>
      <c r="V82">
        <v>152.19999999999999</v>
      </c>
      <c r="W82">
        <v>139.19999999999999</v>
      </c>
      <c r="X82">
        <v>144.6</v>
      </c>
      <c r="Y82">
        <v>149</v>
      </c>
      <c r="Z82">
        <v>126.1</v>
      </c>
      <c r="AA82">
        <v>141.30000000000001</v>
      </c>
      <c r="AB82">
        <v>155.19999999999999</v>
      </c>
      <c r="AC82">
        <v>139.69999999999999</v>
      </c>
      <c r="AD82">
        <v>140.69999999999999</v>
      </c>
      <c r="AE82">
        <v>145.80000000000001</v>
      </c>
    </row>
    <row r="83" spans="1:31" x14ac:dyDescent="0.25">
      <c r="A83" s="1">
        <v>43739</v>
      </c>
      <c r="B83" s="2" t="s">
        <v>31</v>
      </c>
      <c r="C83">
        <v>2019</v>
      </c>
      <c r="D83" s="2" t="s">
        <v>41</v>
      </c>
      <c r="E83">
        <v>141.80000000000001</v>
      </c>
      <c r="F83">
        <v>161</v>
      </c>
      <c r="G83">
        <v>142.6</v>
      </c>
      <c r="H83">
        <v>146.19999999999999</v>
      </c>
      <c r="I83">
        <v>123.9</v>
      </c>
      <c r="J83">
        <v>148</v>
      </c>
      <c r="K83">
        <v>188.4</v>
      </c>
      <c r="L83">
        <v>132.5</v>
      </c>
      <c r="M83">
        <v>114</v>
      </c>
      <c r="N83">
        <v>145.4</v>
      </c>
      <c r="O83">
        <v>135.1</v>
      </c>
      <c r="P83">
        <v>157.1</v>
      </c>
      <c r="Q83">
        <v>149.6</v>
      </c>
      <c r="R83">
        <v>167.1</v>
      </c>
      <c r="S83">
        <v>149.4</v>
      </c>
      <c r="T83">
        <v>140.80000000000001</v>
      </c>
      <c r="U83">
        <v>148.19999999999999</v>
      </c>
      <c r="V83">
        <v>153</v>
      </c>
      <c r="W83">
        <v>140.6</v>
      </c>
      <c r="X83">
        <v>145</v>
      </c>
      <c r="Y83">
        <v>149.4</v>
      </c>
      <c r="Z83">
        <v>126.3</v>
      </c>
      <c r="AA83">
        <v>141.69999999999999</v>
      </c>
      <c r="AB83">
        <v>155.4</v>
      </c>
      <c r="AC83">
        <v>140</v>
      </c>
      <c r="AD83">
        <v>141</v>
      </c>
      <c r="AE83">
        <v>147.19999999999999</v>
      </c>
    </row>
    <row r="84" spans="1:31" x14ac:dyDescent="0.25">
      <c r="A84" s="1">
        <v>43770</v>
      </c>
      <c r="B84" s="2" t="s">
        <v>31</v>
      </c>
      <c r="C84">
        <v>2019</v>
      </c>
      <c r="D84" s="2" t="s">
        <v>42</v>
      </c>
      <c r="E84">
        <v>142.5</v>
      </c>
      <c r="F84">
        <v>163.19999999999999</v>
      </c>
      <c r="G84">
        <v>145.6</v>
      </c>
      <c r="H84">
        <v>146.69999999999999</v>
      </c>
      <c r="I84">
        <v>124.3</v>
      </c>
      <c r="J84">
        <v>147.4</v>
      </c>
      <c r="K84">
        <v>199.6</v>
      </c>
      <c r="L84">
        <v>135.69999999999999</v>
      </c>
      <c r="M84">
        <v>114.2</v>
      </c>
      <c r="N84">
        <v>147</v>
      </c>
      <c r="O84">
        <v>135.30000000000001</v>
      </c>
      <c r="P84">
        <v>157.5</v>
      </c>
      <c r="Q84">
        <v>151.9</v>
      </c>
      <c r="R84">
        <v>167.9</v>
      </c>
      <c r="S84">
        <v>149.9</v>
      </c>
      <c r="T84">
        <v>141</v>
      </c>
      <c r="U84">
        <v>148.6</v>
      </c>
      <c r="V84">
        <v>153.5</v>
      </c>
      <c r="W84">
        <v>142.30000000000001</v>
      </c>
      <c r="X84">
        <v>145.30000000000001</v>
      </c>
      <c r="Y84">
        <v>149.9</v>
      </c>
      <c r="Z84">
        <v>126.6</v>
      </c>
      <c r="AA84">
        <v>142.1</v>
      </c>
      <c r="AB84">
        <v>155.5</v>
      </c>
      <c r="AC84">
        <v>140.30000000000001</v>
      </c>
      <c r="AD84">
        <v>141.30000000000001</v>
      </c>
      <c r="AE84">
        <v>148.6</v>
      </c>
    </row>
    <row r="85" spans="1:31" x14ac:dyDescent="0.25">
      <c r="A85" s="1">
        <v>43800</v>
      </c>
      <c r="B85" s="2" t="s">
        <v>31</v>
      </c>
      <c r="C85">
        <v>2019</v>
      </c>
      <c r="D85" s="2" t="s">
        <v>43</v>
      </c>
      <c r="E85">
        <v>143.5</v>
      </c>
      <c r="F85">
        <v>165</v>
      </c>
      <c r="G85">
        <v>151.1</v>
      </c>
      <c r="H85">
        <v>148.30000000000001</v>
      </c>
      <c r="I85">
        <v>125.7</v>
      </c>
      <c r="J85">
        <v>145.69999999999999</v>
      </c>
      <c r="K85">
        <v>217</v>
      </c>
      <c r="L85">
        <v>138.30000000000001</v>
      </c>
      <c r="M85">
        <v>114</v>
      </c>
      <c r="N85">
        <v>148.69999999999999</v>
      </c>
      <c r="O85">
        <v>135.80000000000001</v>
      </c>
      <c r="P85">
        <v>158</v>
      </c>
      <c r="Q85">
        <v>155</v>
      </c>
      <c r="R85">
        <v>168.5</v>
      </c>
      <c r="S85">
        <v>150.30000000000001</v>
      </c>
      <c r="T85">
        <v>141.30000000000001</v>
      </c>
      <c r="U85">
        <v>149</v>
      </c>
      <c r="V85">
        <v>152.80000000000001</v>
      </c>
      <c r="W85">
        <v>143.69999999999999</v>
      </c>
      <c r="X85">
        <v>145.80000000000001</v>
      </c>
      <c r="Y85">
        <v>150.4</v>
      </c>
      <c r="Z85">
        <v>129.80000000000001</v>
      </c>
      <c r="AA85">
        <v>142.30000000000001</v>
      </c>
      <c r="AB85">
        <v>155.69999999999999</v>
      </c>
      <c r="AC85">
        <v>140.4</v>
      </c>
      <c r="AD85">
        <v>142.5</v>
      </c>
      <c r="AE85">
        <v>150.4</v>
      </c>
    </row>
    <row r="86" spans="1:31" x14ac:dyDescent="0.25">
      <c r="A86" s="1">
        <v>43831</v>
      </c>
      <c r="B86" s="2" t="s">
        <v>31</v>
      </c>
      <c r="C86">
        <v>2020</v>
      </c>
      <c r="D86" s="2" t="s">
        <v>32</v>
      </c>
      <c r="E86">
        <v>144.30000000000001</v>
      </c>
      <c r="F86">
        <v>167.4</v>
      </c>
      <c r="G86">
        <v>154.9</v>
      </c>
      <c r="H86">
        <v>150.1</v>
      </c>
      <c r="I86">
        <v>129.9</v>
      </c>
      <c r="J86">
        <v>143.19999999999999</v>
      </c>
      <c r="K86">
        <v>197</v>
      </c>
      <c r="L86">
        <v>140.4</v>
      </c>
      <c r="M86">
        <v>114.1</v>
      </c>
      <c r="N86">
        <v>150.9</v>
      </c>
      <c r="O86">
        <v>136.1</v>
      </c>
      <c r="P86">
        <v>158.6</v>
      </c>
      <c r="Q86">
        <v>153.5</v>
      </c>
      <c r="R86">
        <v>169.2</v>
      </c>
      <c r="S86">
        <v>150.5</v>
      </c>
      <c r="T86">
        <v>141.5</v>
      </c>
      <c r="U86">
        <v>149.19999999999999</v>
      </c>
      <c r="V86">
        <v>153.9</v>
      </c>
      <c r="W86">
        <v>144.6</v>
      </c>
      <c r="X86">
        <v>146.19999999999999</v>
      </c>
      <c r="Y86">
        <v>151.19999999999999</v>
      </c>
      <c r="Z86">
        <v>130.9</v>
      </c>
      <c r="AA86">
        <v>142.80000000000001</v>
      </c>
      <c r="AB86">
        <v>156.1</v>
      </c>
      <c r="AC86">
        <v>142.30000000000001</v>
      </c>
      <c r="AD86">
        <v>143.4</v>
      </c>
      <c r="AE86">
        <v>150.19999999999999</v>
      </c>
    </row>
    <row r="87" spans="1:31" x14ac:dyDescent="0.25">
      <c r="A87" s="1">
        <v>43862</v>
      </c>
      <c r="B87" s="2" t="s">
        <v>31</v>
      </c>
      <c r="C87">
        <v>2020</v>
      </c>
      <c r="D87" s="2" t="s">
        <v>33</v>
      </c>
      <c r="E87">
        <v>144.80000000000001</v>
      </c>
      <c r="F87">
        <v>167.5</v>
      </c>
      <c r="G87">
        <v>151.80000000000001</v>
      </c>
      <c r="H87">
        <v>150.80000000000001</v>
      </c>
      <c r="I87">
        <v>131.4</v>
      </c>
      <c r="J87">
        <v>141.80000000000001</v>
      </c>
      <c r="K87">
        <v>170.7</v>
      </c>
      <c r="L87">
        <v>141.1</v>
      </c>
      <c r="M87">
        <v>113.6</v>
      </c>
      <c r="N87">
        <v>152</v>
      </c>
      <c r="O87">
        <v>136.5</v>
      </c>
      <c r="P87">
        <v>159.1</v>
      </c>
      <c r="Q87">
        <v>150.5</v>
      </c>
      <c r="R87">
        <v>170.1</v>
      </c>
      <c r="S87">
        <v>150.80000000000001</v>
      </c>
      <c r="T87">
        <v>141.69999999999999</v>
      </c>
      <c r="U87">
        <v>149.5</v>
      </c>
      <c r="V87">
        <v>154.80000000000001</v>
      </c>
      <c r="W87">
        <v>147.19999999999999</v>
      </c>
      <c r="X87">
        <v>146.4</v>
      </c>
      <c r="Y87">
        <v>151.69999999999999</v>
      </c>
      <c r="Z87">
        <v>130.30000000000001</v>
      </c>
      <c r="AA87">
        <v>143.19999999999999</v>
      </c>
      <c r="AB87">
        <v>156.19999999999999</v>
      </c>
      <c r="AC87">
        <v>143.4</v>
      </c>
      <c r="AD87">
        <v>143.6</v>
      </c>
      <c r="AE87">
        <v>149.1</v>
      </c>
    </row>
    <row r="88" spans="1:31" x14ac:dyDescent="0.25">
      <c r="A88" s="1">
        <v>43891</v>
      </c>
      <c r="B88" s="2" t="s">
        <v>31</v>
      </c>
      <c r="C88">
        <v>2020</v>
      </c>
      <c r="D88" s="2" t="s">
        <v>34</v>
      </c>
      <c r="E88">
        <v>145.1</v>
      </c>
      <c r="F88">
        <v>167</v>
      </c>
      <c r="G88">
        <v>148.1</v>
      </c>
      <c r="H88">
        <v>151.5</v>
      </c>
      <c r="I88">
        <v>131.19999999999999</v>
      </c>
      <c r="J88">
        <v>142.5</v>
      </c>
      <c r="K88">
        <v>157.30000000000001</v>
      </c>
      <c r="L88">
        <v>141.1</v>
      </c>
      <c r="M88">
        <v>113.2</v>
      </c>
      <c r="N88">
        <v>153.19999999999999</v>
      </c>
      <c r="O88">
        <v>136.69999999999999</v>
      </c>
      <c r="P88">
        <v>159.6</v>
      </c>
      <c r="Q88">
        <v>148.9</v>
      </c>
      <c r="R88">
        <v>171.2</v>
      </c>
      <c r="S88">
        <v>151.19999999999999</v>
      </c>
      <c r="T88">
        <v>141.9</v>
      </c>
      <c r="U88">
        <v>149.80000000000001</v>
      </c>
      <c r="V88">
        <v>154.5</v>
      </c>
      <c r="W88">
        <v>148.9</v>
      </c>
      <c r="X88">
        <v>146.4</v>
      </c>
      <c r="Y88">
        <v>152.30000000000001</v>
      </c>
      <c r="Z88">
        <v>129.9</v>
      </c>
      <c r="AA88">
        <v>143.69999999999999</v>
      </c>
      <c r="AB88">
        <v>156.1</v>
      </c>
      <c r="AC88">
        <v>145.19999999999999</v>
      </c>
      <c r="AD88">
        <v>143.80000000000001</v>
      </c>
      <c r="AE88">
        <v>148.6</v>
      </c>
    </row>
    <row r="89" spans="1:31" x14ac:dyDescent="0.25">
      <c r="A89" s="1">
        <v>43922</v>
      </c>
      <c r="B89" s="2" t="s">
        <v>31</v>
      </c>
      <c r="C89">
        <v>2020</v>
      </c>
      <c r="D89" s="2" t="s">
        <v>35</v>
      </c>
      <c r="E89">
        <v>148.69999999999999</v>
      </c>
      <c r="G89">
        <v>148.80000000000001</v>
      </c>
      <c r="H89">
        <v>155.6</v>
      </c>
      <c r="I89">
        <v>135.1</v>
      </c>
      <c r="J89">
        <v>149.9</v>
      </c>
      <c r="K89">
        <v>168.6</v>
      </c>
      <c r="L89">
        <v>150.4</v>
      </c>
      <c r="M89">
        <v>120.3</v>
      </c>
      <c r="N89">
        <v>157.1</v>
      </c>
      <c r="O89">
        <v>136.80000000000001</v>
      </c>
      <c r="Q89">
        <v>151.4</v>
      </c>
      <c r="V89">
        <v>155.6</v>
      </c>
      <c r="W89">
        <v>144.1</v>
      </c>
      <c r="Y89">
        <v>150.69999999999999</v>
      </c>
    </row>
    <row r="90" spans="1:31" x14ac:dyDescent="0.25">
      <c r="A90" s="1">
        <v>43952</v>
      </c>
      <c r="B90" s="2" t="s">
        <v>31</v>
      </c>
      <c r="C90">
        <v>2020</v>
      </c>
      <c r="D90" s="2" t="s">
        <v>36</v>
      </c>
    </row>
    <row r="91" spans="1:31" x14ac:dyDescent="0.25">
      <c r="A91" s="1">
        <v>43983</v>
      </c>
      <c r="B91" s="2" t="s">
        <v>31</v>
      </c>
      <c r="C91">
        <v>2020</v>
      </c>
      <c r="D91" s="2" t="s">
        <v>37</v>
      </c>
      <c r="E91">
        <v>149.6</v>
      </c>
      <c r="F91">
        <v>192.7</v>
      </c>
      <c r="G91">
        <v>151.4</v>
      </c>
      <c r="H91">
        <v>153.30000000000001</v>
      </c>
      <c r="I91">
        <v>136.30000000000001</v>
      </c>
      <c r="J91">
        <v>147.19999999999999</v>
      </c>
      <c r="K91">
        <v>156.5</v>
      </c>
      <c r="L91">
        <v>150.9</v>
      </c>
      <c r="M91">
        <v>114.2</v>
      </c>
      <c r="N91">
        <v>159.5</v>
      </c>
      <c r="O91">
        <v>139.4</v>
      </c>
      <c r="P91">
        <v>161.80000000000001</v>
      </c>
      <c r="Q91">
        <v>154</v>
      </c>
      <c r="R91">
        <v>183.5</v>
      </c>
      <c r="S91">
        <v>152.5</v>
      </c>
      <c r="T91">
        <v>144.4</v>
      </c>
      <c r="U91">
        <v>151.4</v>
      </c>
      <c r="V91">
        <v>154.69999999999999</v>
      </c>
      <c r="W91">
        <v>141.9</v>
      </c>
      <c r="X91">
        <v>146.4</v>
      </c>
      <c r="Y91">
        <v>154.4</v>
      </c>
      <c r="Z91">
        <v>135</v>
      </c>
      <c r="AA91">
        <v>148.30000000000001</v>
      </c>
      <c r="AB91">
        <v>156.4</v>
      </c>
      <c r="AC91">
        <v>151.6</v>
      </c>
      <c r="AD91">
        <v>147</v>
      </c>
      <c r="AE91">
        <v>151.80000000000001</v>
      </c>
    </row>
    <row r="92" spans="1:31" x14ac:dyDescent="0.25">
      <c r="A92" s="1">
        <v>44013</v>
      </c>
      <c r="B92" s="2" t="s">
        <v>31</v>
      </c>
      <c r="C92">
        <v>2020</v>
      </c>
      <c r="D92" s="2" t="s">
        <v>38</v>
      </c>
      <c r="E92">
        <v>149.6</v>
      </c>
      <c r="F92">
        <v>192.7</v>
      </c>
      <c r="G92">
        <v>151.4</v>
      </c>
      <c r="H92">
        <v>153.30000000000001</v>
      </c>
      <c r="I92">
        <v>136.30000000000001</v>
      </c>
      <c r="J92">
        <v>147.19999999999999</v>
      </c>
      <c r="K92">
        <v>156.5</v>
      </c>
      <c r="L92">
        <v>150.9</v>
      </c>
      <c r="M92">
        <v>114.2</v>
      </c>
      <c r="N92">
        <v>159.5</v>
      </c>
      <c r="O92">
        <v>139.4</v>
      </c>
      <c r="P92">
        <v>161.80000000000001</v>
      </c>
      <c r="Q92">
        <v>154</v>
      </c>
      <c r="R92">
        <v>183.5</v>
      </c>
      <c r="S92">
        <v>152.5</v>
      </c>
      <c r="T92">
        <v>144.4</v>
      </c>
      <c r="U92">
        <v>151.4</v>
      </c>
      <c r="V92">
        <v>154.69999999999999</v>
      </c>
      <c r="W92">
        <v>141.9</v>
      </c>
      <c r="X92">
        <v>146.4</v>
      </c>
      <c r="Y92">
        <v>154.4</v>
      </c>
      <c r="Z92">
        <v>135</v>
      </c>
      <c r="AA92">
        <v>148.30000000000001</v>
      </c>
      <c r="AB92">
        <v>156.4</v>
      </c>
      <c r="AC92">
        <v>151.6</v>
      </c>
      <c r="AD92">
        <v>147</v>
      </c>
      <c r="AE92">
        <v>151.80000000000001</v>
      </c>
    </row>
    <row r="93" spans="1:31" x14ac:dyDescent="0.25">
      <c r="A93" s="1">
        <v>44044</v>
      </c>
      <c r="B93" s="2" t="s">
        <v>31</v>
      </c>
      <c r="C93">
        <v>2020</v>
      </c>
      <c r="D93" s="2" t="s">
        <v>39</v>
      </c>
      <c r="E93">
        <v>148.9</v>
      </c>
      <c r="F93">
        <v>190.9</v>
      </c>
      <c r="G93">
        <v>150.80000000000001</v>
      </c>
      <c r="H93">
        <v>153.30000000000001</v>
      </c>
      <c r="I93">
        <v>137.4</v>
      </c>
      <c r="J93">
        <v>150.4</v>
      </c>
      <c r="K93">
        <v>178.1</v>
      </c>
      <c r="L93">
        <v>150.4</v>
      </c>
      <c r="M93">
        <v>115.1</v>
      </c>
      <c r="N93">
        <v>160</v>
      </c>
      <c r="O93">
        <v>140.6</v>
      </c>
      <c r="P93">
        <v>162.30000000000001</v>
      </c>
      <c r="Q93">
        <v>157</v>
      </c>
      <c r="R93">
        <v>182.6</v>
      </c>
      <c r="S93">
        <v>153.1</v>
      </c>
      <c r="T93">
        <v>143.4</v>
      </c>
      <c r="U93">
        <v>151.69999999999999</v>
      </c>
      <c r="V93">
        <v>155.5</v>
      </c>
      <c r="W93">
        <v>143</v>
      </c>
      <c r="X93">
        <v>148.4</v>
      </c>
      <c r="Y93">
        <v>155</v>
      </c>
      <c r="Z93">
        <v>138.5</v>
      </c>
      <c r="AA93">
        <v>146</v>
      </c>
      <c r="AB93">
        <v>158.5</v>
      </c>
      <c r="AC93">
        <v>154.30000000000001</v>
      </c>
      <c r="AD93">
        <v>149</v>
      </c>
      <c r="AE93">
        <v>153.9</v>
      </c>
    </row>
    <row r="94" spans="1:31" x14ac:dyDescent="0.25">
      <c r="A94" s="1">
        <v>44075</v>
      </c>
      <c r="B94" s="2" t="s">
        <v>31</v>
      </c>
      <c r="C94">
        <v>2020</v>
      </c>
      <c r="D94" s="2" t="s">
        <v>40</v>
      </c>
      <c r="E94">
        <v>148.4</v>
      </c>
      <c r="F94">
        <v>187.1</v>
      </c>
      <c r="G94">
        <v>152.5</v>
      </c>
      <c r="H94">
        <v>153.6</v>
      </c>
      <c r="I94">
        <v>138.19999999999999</v>
      </c>
      <c r="J94">
        <v>150.9</v>
      </c>
      <c r="K94">
        <v>186.7</v>
      </c>
      <c r="L94">
        <v>149.80000000000001</v>
      </c>
      <c r="M94">
        <v>116.4</v>
      </c>
      <c r="N94">
        <v>160.30000000000001</v>
      </c>
      <c r="O94">
        <v>142.19999999999999</v>
      </c>
      <c r="P94">
        <v>162.9</v>
      </c>
      <c r="Q94">
        <v>158</v>
      </c>
      <c r="R94">
        <v>184.4</v>
      </c>
      <c r="S94">
        <v>153.4</v>
      </c>
      <c r="T94">
        <v>144.30000000000001</v>
      </c>
      <c r="U94">
        <v>152</v>
      </c>
      <c r="V94">
        <v>156.30000000000001</v>
      </c>
      <c r="W94">
        <v>142.9</v>
      </c>
      <c r="X94">
        <v>148.69999999999999</v>
      </c>
      <c r="Y94">
        <v>155.6</v>
      </c>
      <c r="Z94">
        <v>139.6</v>
      </c>
      <c r="AA94">
        <v>146.6</v>
      </c>
      <c r="AB94">
        <v>157.5</v>
      </c>
      <c r="AC94">
        <v>158.4</v>
      </c>
      <c r="AD94">
        <v>150</v>
      </c>
      <c r="AE94">
        <v>154.69999999999999</v>
      </c>
    </row>
    <row r="95" spans="1:31" x14ac:dyDescent="0.25">
      <c r="A95" s="1">
        <v>44105</v>
      </c>
      <c r="B95" s="2" t="s">
        <v>31</v>
      </c>
      <c r="C95">
        <v>2020</v>
      </c>
      <c r="D95" s="2" t="s">
        <v>41</v>
      </c>
      <c r="E95">
        <v>147.5</v>
      </c>
      <c r="F95">
        <v>188.9</v>
      </c>
      <c r="G95">
        <v>161.4</v>
      </c>
      <c r="H95">
        <v>153.6</v>
      </c>
      <c r="I95">
        <v>140.1</v>
      </c>
      <c r="J95">
        <v>151.19999999999999</v>
      </c>
      <c r="K95">
        <v>209.2</v>
      </c>
      <c r="L95">
        <v>150.9</v>
      </c>
      <c r="M95">
        <v>116.2</v>
      </c>
      <c r="N95">
        <v>161</v>
      </c>
      <c r="O95">
        <v>144</v>
      </c>
      <c r="P95">
        <v>163.19999999999999</v>
      </c>
      <c r="Q95">
        <v>161.4</v>
      </c>
      <c r="R95">
        <v>184.3</v>
      </c>
      <c r="S95">
        <v>153.69999999999999</v>
      </c>
      <c r="T95">
        <v>144.6</v>
      </c>
      <c r="U95">
        <v>152.30000000000001</v>
      </c>
      <c r="V95">
        <v>156.5</v>
      </c>
      <c r="W95">
        <v>143.1</v>
      </c>
      <c r="X95">
        <v>148.69999999999999</v>
      </c>
      <c r="Y95">
        <v>156.30000000000001</v>
      </c>
      <c r="Z95">
        <v>140.6</v>
      </c>
      <c r="AA95">
        <v>146.5</v>
      </c>
      <c r="AB95">
        <v>158.5</v>
      </c>
      <c r="AC95">
        <v>157</v>
      </c>
      <c r="AD95">
        <v>150.4</v>
      </c>
      <c r="AE95">
        <v>156.4</v>
      </c>
    </row>
    <row r="96" spans="1:31" x14ac:dyDescent="0.25">
      <c r="A96" s="1">
        <v>44136</v>
      </c>
      <c r="B96" s="2" t="s">
        <v>31</v>
      </c>
      <c r="C96">
        <v>2020</v>
      </c>
      <c r="D96" s="2" t="s">
        <v>42</v>
      </c>
      <c r="E96">
        <v>146.80000000000001</v>
      </c>
      <c r="F96">
        <v>191</v>
      </c>
      <c r="G96">
        <v>173.6</v>
      </c>
      <c r="H96">
        <v>153.80000000000001</v>
      </c>
      <c r="I96">
        <v>142.69999999999999</v>
      </c>
      <c r="J96">
        <v>148.4</v>
      </c>
      <c r="K96">
        <v>230</v>
      </c>
      <c r="L96">
        <v>156.80000000000001</v>
      </c>
      <c r="M96">
        <v>115.7</v>
      </c>
      <c r="N96">
        <v>161.80000000000001</v>
      </c>
      <c r="O96">
        <v>146.5</v>
      </c>
      <c r="P96">
        <v>163.80000000000001</v>
      </c>
      <c r="Q96">
        <v>164.7</v>
      </c>
      <c r="R96">
        <v>184.8</v>
      </c>
      <c r="S96">
        <v>154.30000000000001</v>
      </c>
      <c r="T96">
        <v>144.9</v>
      </c>
      <c r="U96">
        <v>152.80000000000001</v>
      </c>
      <c r="V96">
        <v>158</v>
      </c>
      <c r="W96">
        <v>143.6</v>
      </c>
      <c r="X96">
        <v>149.19999999999999</v>
      </c>
      <c r="Y96">
        <v>157.19999999999999</v>
      </c>
      <c r="Z96">
        <v>140.4</v>
      </c>
      <c r="AA96">
        <v>148.4</v>
      </c>
      <c r="AB96">
        <v>158.6</v>
      </c>
      <c r="AC96">
        <v>156.9</v>
      </c>
      <c r="AD96">
        <v>150.69999999999999</v>
      </c>
      <c r="AE96">
        <v>158.4</v>
      </c>
    </row>
    <row r="97" spans="1:31" x14ac:dyDescent="0.25">
      <c r="A97" s="1">
        <v>44166</v>
      </c>
      <c r="B97" s="2" t="s">
        <v>31</v>
      </c>
      <c r="C97">
        <v>2020</v>
      </c>
      <c r="D97" s="2" t="s">
        <v>43</v>
      </c>
      <c r="E97">
        <v>146</v>
      </c>
      <c r="F97">
        <v>191</v>
      </c>
      <c r="G97">
        <v>175.3</v>
      </c>
      <c r="H97">
        <v>154.1</v>
      </c>
      <c r="I97">
        <v>146.6</v>
      </c>
      <c r="J97">
        <v>147.69999999999999</v>
      </c>
      <c r="K97">
        <v>230.5</v>
      </c>
      <c r="L97">
        <v>160.19999999999999</v>
      </c>
      <c r="M97">
        <v>115.3</v>
      </c>
      <c r="N97">
        <v>163</v>
      </c>
      <c r="O97">
        <v>149.19999999999999</v>
      </c>
      <c r="P97">
        <v>164.8</v>
      </c>
      <c r="Q97">
        <v>165.4</v>
      </c>
      <c r="R97">
        <v>185.4</v>
      </c>
      <c r="S97">
        <v>155</v>
      </c>
      <c r="T97">
        <v>145.4</v>
      </c>
      <c r="U97">
        <v>153.6</v>
      </c>
      <c r="V97">
        <v>158.4</v>
      </c>
      <c r="W97">
        <v>144.6</v>
      </c>
      <c r="X97">
        <v>149.69999999999999</v>
      </c>
      <c r="Y97">
        <v>158.30000000000001</v>
      </c>
      <c r="Z97">
        <v>140.69999999999999</v>
      </c>
      <c r="AA97">
        <v>148.5</v>
      </c>
      <c r="AB97">
        <v>159.4</v>
      </c>
      <c r="AC97">
        <v>157.1</v>
      </c>
      <c r="AD97">
        <v>151.19999999999999</v>
      </c>
      <c r="AE97">
        <v>158.9</v>
      </c>
    </row>
    <row r="98" spans="1:31" x14ac:dyDescent="0.25">
      <c r="A98" s="1">
        <v>44197</v>
      </c>
      <c r="B98" s="2" t="s">
        <v>31</v>
      </c>
      <c r="C98">
        <v>2021</v>
      </c>
      <c r="D98" s="2" t="s">
        <v>32</v>
      </c>
      <c r="E98">
        <v>144.9</v>
      </c>
      <c r="F98">
        <v>190.1</v>
      </c>
      <c r="G98">
        <v>175.3</v>
      </c>
      <c r="H98">
        <v>154.1</v>
      </c>
      <c r="I98">
        <v>150.9</v>
      </c>
      <c r="J98">
        <v>149.6</v>
      </c>
      <c r="K98">
        <v>194.2</v>
      </c>
      <c r="L98">
        <v>160.4</v>
      </c>
      <c r="M98">
        <v>114.6</v>
      </c>
      <c r="N98">
        <v>164</v>
      </c>
      <c r="O98">
        <v>151.80000000000001</v>
      </c>
      <c r="P98">
        <v>165.6</v>
      </c>
      <c r="Q98">
        <v>161</v>
      </c>
      <c r="R98">
        <v>186.5</v>
      </c>
      <c r="S98">
        <v>155.5</v>
      </c>
      <c r="T98">
        <v>146.1</v>
      </c>
      <c r="U98">
        <v>154.19999999999999</v>
      </c>
      <c r="V98">
        <v>157.69999999999999</v>
      </c>
      <c r="W98">
        <v>147.9</v>
      </c>
      <c r="X98">
        <v>150</v>
      </c>
      <c r="Y98">
        <v>159.30000000000001</v>
      </c>
      <c r="Z98">
        <v>141.9</v>
      </c>
      <c r="AA98">
        <v>149.6</v>
      </c>
      <c r="AB98">
        <v>159.19999999999999</v>
      </c>
      <c r="AC98">
        <v>156.80000000000001</v>
      </c>
      <c r="AD98">
        <v>151.9</v>
      </c>
      <c r="AE98">
        <v>157.30000000000001</v>
      </c>
    </row>
    <row r="99" spans="1:31" x14ac:dyDescent="0.25">
      <c r="A99" s="1">
        <v>44228</v>
      </c>
      <c r="B99" s="2" t="s">
        <v>31</v>
      </c>
      <c r="C99">
        <v>2021</v>
      </c>
      <c r="D99" s="2" t="s">
        <v>33</v>
      </c>
      <c r="E99">
        <v>144.30000000000001</v>
      </c>
      <c r="F99">
        <v>186.5</v>
      </c>
      <c r="G99">
        <v>168.7</v>
      </c>
      <c r="H99">
        <v>154.69999999999999</v>
      </c>
      <c r="I99">
        <v>158.69999999999999</v>
      </c>
      <c r="J99">
        <v>150.69999999999999</v>
      </c>
      <c r="K99">
        <v>160</v>
      </c>
      <c r="L99">
        <v>158.80000000000001</v>
      </c>
      <c r="M99">
        <v>112.8</v>
      </c>
      <c r="N99">
        <v>164.2</v>
      </c>
      <c r="O99">
        <v>155.5</v>
      </c>
      <c r="P99">
        <v>167.5</v>
      </c>
      <c r="Q99">
        <v>156.9</v>
      </c>
      <c r="R99">
        <v>188.3</v>
      </c>
      <c r="S99">
        <v>157.19999999999999</v>
      </c>
      <c r="T99">
        <v>147.4</v>
      </c>
      <c r="U99">
        <v>155.80000000000001</v>
      </c>
      <c r="V99">
        <v>159.80000000000001</v>
      </c>
      <c r="W99">
        <v>152.4</v>
      </c>
      <c r="X99">
        <v>150.9</v>
      </c>
      <c r="Y99">
        <v>161.30000000000001</v>
      </c>
      <c r="Z99">
        <v>145.1</v>
      </c>
      <c r="AA99">
        <v>151.5</v>
      </c>
      <c r="AB99">
        <v>159.5</v>
      </c>
      <c r="AC99">
        <v>155.80000000000001</v>
      </c>
      <c r="AD99">
        <v>153.4</v>
      </c>
      <c r="AE99">
        <v>156.6</v>
      </c>
    </row>
    <row r="100" spans="1:31" x14ac:dyDescent="0.25">
      <c r="A100" s="1">
        <v>44256</v>
      </c>
      <c r="B100" s="2" t="s">
        <v>31</v>
      </c>
      <c r="C100">
        <v>2021</v>
      </c>
      <c r="D100" s="2" t="s">
        <v>34</v>
      </c>
      <c r="E100">
        <v>144.1</v>
      </c>
      <c r="F100">
        <v>192.2</v>
      </c>
      <c r="G100">
        <v>163.80000000000001</v>
      </c>
      <c r="H100">
        <v>154.9</v>
      </c>
      <c r="I100">
        <v>163.9</v>
      </c>
      <c r="J100">
        <v>153.69999999999999</v>
      </c>
      <c r="K100">
        <v>149.5</v>
      </c>
      <c r="L100">
        <v>159.80000000000001</v>
      </c>
      <c r="M100">
        <v>112.6</v>
      </c>
      <c r="N100">
        <v>163.5</v>
      </c>
      <c r="O100">
        <v>156.5</v>
      </c>
      <c r="P100">
        <v>168.2</v>
      </c>
      <c r="Q100">
        <v>156.69999999999999</v>
      </c>
      <c r="R100">
        <v>188.1</v>
      </c>
      <c r="S100">
        <v>157.80000000000001</v>
      </c>
      <c r="T100">
        <v>147.9</v>
      </c>
      <c r="U100">
        <v>156.4</v>
      </c>
      <c r="V100">
        <v>159.9</v>
      </c>
      <c r="W100">
        <v>155.5</v>
      </c>
      <c r="X100">
        <v>151.19999999999999</v>
      </c>
      <c r="Y100">
        <v>161.69999999999999</v>
      </c>
      <c r="Z100">
        <v>146.19999999999999</v>
      </c>
      <c r="AA100">
        <v>152.6</v>
      </c>
      <c r="AB100">
        <v>160.19999999999999</v>
      </c>
      <c r="AC100">
        <v>153.80000000000001</v>
      </c>
      <c r="AD100">
        <v>153.80000000000001</v>
      </c>
      <c r="AE100">
        <v>156.80000000000001</v>
      </c>
    </row>
    <row r="101" spans="1:31" x14ac:dyDescent="0.25">
      <c r="A101" s="1">
        <v>44287</v>
      </c>
      <c r="B101" s="2" t="s">
        <v>31</v>
      </c>
      <c r="C101">
        <v>2021</v>
      </c>
      <c r="D101" s="2" t="s">
        <v>35</v>
      </c>
      <c r="E101">
        <v>144.30000000000001</v>
      </c>
      <c r="F101">
        <v>198</v>
      </c>
      <c r="G101">
        <v>164.6</v>
      </c>
      <c r="H101">
        <v>155.4</v>
      </c>
      <c r="I101">
        <v>170.1</v>
      </c>
      <c r="J101">
        <v>164.4</v>
      </c>
      <c r="K101">
        <v>144.1</v>
      </c>
      <c r="L101">
        <v>161.69999999999999</v>
      </c>
      <c r="M101">
        <v>113.1</v>
      </c>
      <c r="N101">
        <v>163.9</v>
      </c>
      <c r="O101">
        <v>157.6</v>
      </c>
      <c r="P101">
        <v>168.9</v>
      </c>
      <c r="Q101">
        <v>158</v>
      </c>
      <c r="R101">
        <v>188.8</v>
      </c>
      <c r="S101">
        <v>158.80000000000001</v>
      </c>
      <c r="T101">
        <v>148.5</v>
      </c>
      <c r="U101">
        <v>157.30000000000001</v>
      </c>
      <c r="V101">
        <v>161.4</v>
      </c>
      <c r="W101">
        <v>155.6</v>
      </c>
      <c r="X101">
        <v>151.80000000000001</v>
      </c>
      <c r="Y101">
        <v>162.30000000000001</v>
      </c>
      <c r="Z101">
        <v>146.6</v>
      </c>
      <c r="AA101">
        <v>153.19999999999999</v>
      </c>
      <c r="AB101">
        <v>160.30000000000001</v>
      </c>
      <c r="AC101">
        <v>155.4</v>
      </c>
      <c r="AD101">
        <v>154.4</v>
      </c>
      <c r="AE101">
        <v>157.80000000000001</v>
      </c>
    </row>
    <row r="102" spans="1:31" x14ac:dyDescent="0.25">
      <c r="A102" s="1">
        <v>44317</v>
      </c>
      <c r="B102" s="2" t="s">
        <v>31</v>
      </c>
      <c r="C102">
        <v>2021</v>
      </c>
      <c r="D102" s="2" t="s">
        <v>36</v>
      </c>
      <c r="E102">
        <v>146.30000000000001</v>
      </c>
      <c r="F102">
        <v>200.5</v>
      </c>
      <c r="G102">
        <v>170.3</v>
      </c>
      <c r="H102">
        <v>156.1</v>
      </c>
      <c r="I102">
        <v>178.7</v>
      </c>
      <c r="J102">
        <v>167.1</v>
      </c>
      <c r="K102">
        <v>147.9</v>
      </c>
      <c r="L102">
        <v>165.4</v>
      </c>
      <c r="M102">
        <v>114.8</v>
      </c>
      <c r="N102">
        <v>168.2</v>
      </c>
      <c r="O102">
        <v>159.30000000000001</v>
      </c>
      <c r="P102">
        <v>170.4</v>
      </c>
      <c r="Q102">
        <v>160.69999999999999</v>
      </c>
      <c r="R102">
        <v>191.9</v>
      </c>
      <c r="S102">
        <v>161.80000000000001</v>
      </c>
      <c r="T102">
        <v>152.1</v>
      </c>
      <c r="U102">
        <v>160.4</v>
      </c>
      <c r="V102">
        <v>161.6</v>
      </c>
      <c r="W102">
        <v>159.4</v>
      </c>
      <c r="X102">
        <v>154.69999999999999</v>
      </c>
      <c r="Y102">
        <v>165.8</v>
      </c>
      <c r="Z102">
        <v>148.9</v>
      </c>
      <c r="AA102">
        <v>155.80000000000001</v>
      </c>
      <c r="AB102">
        <v>161.19999999999999</v>
      </c>
      <c r="AC102">
        <v>158.6</v>
      </c>
      <c r="AD102">
        <v>156.80000000000001</v>
      </c>
      <c r="AE102">
        <v>160.4</v>
      </c>
    </row>
    <row r="103" spans="1:31" x14ac:dyDescent="0.25">
      <c r="A103" s="1">
        <v>44348</v>
      </c>
      <c r="B103" s="2" t="s">
        <v>31</v>
      </c>
      <c r="C103">
        <v>2021</v>
      </c>
      <c r="D103" s="2" t="s">
        <v>37</v>
      </c>
      <c r="E103">
        <v>146.69999999999999</v>
      </c>
      <c r="F103">
        <v>202</v>
      </c>
      <c r="G103">
        <v>180.7</v>
      </c>
      <c r="H103">
        <v>156.19999999999999</v>
      </c>
      <c r="I103">
        <v>183.7</v>
      </c>
      <c r="J103">
        <v>164.6</v>
      </c>
      <c r="K103">
        <v>155.4</v>
      </c>
      <c r="L103">
        <v>166</v>
      </c>
      <c r="M103">
        <v>115.1</v>
      </c>
      <c r="N103">
        <v>168.5</v>
      </c>
      <c r="O103">
        <v>160</v>
      </c>
      <c r="P103">
        <v>172.4</v>
      </c>
      <c r="Q103">
        <v>162.6</v>
      </c>
      <c r="R103">
        <v>190.8</v>
      </c>
      <c r="S103">
        <v>162.19999999999999</v>
      </c>
      <c r="T103">
        <v>151.80000000000001</v>
      </c>
      <c r="U103">
        <v>160.69999999999999</v>
      </c>
      <c r="V103">
        <v>160.5</v>
      </c>
      <c r="W103">
        <v>159.80000000000001</v>
      </c>
      <c r="X103">
        <v>154.80000000000001</v>
      </c>
      <c r="Y103">
        <v>166.3</v>
      </c>
      <c r="Z103">
        <v>150.69999999999999</v>
      </c>
      <c r="AA103">
        <v>154.9</v>
      </c>
      <c r="AB103">
        <v>161.69999999999999</v>
      </c>
      <c r="AC103">
        <v>158.80000000000001</v>
      </c>
      <c r="AD103">
        <v>157.6</v>
      </c>
      <c r="AE103">
        <v>161.30000000000001</v>
      </c>
    </row>
    <row r="104" spans="1:31" x14ac:dyDescent="0.25">
      <c r="A104" s="1">
        <v>44378</v>
      </c>
      <c r="B104" s="2" t="s">
        <v>31</v>
      </c>
      <c r="C104">
        <v>2021</v>
      </c>
      <c r="D104" s="2" t="s">
        <v>38</v>
      </c>
      <c r="E104">
        <v>146.4</v>
      </c>
      <c r="F104">
        <v>206.8</v>
      </c>
      <c r="G104">
        <v>182.2</v>
      </c>
      <c r="H104">
        <v>157.5</v>
      </c>
      <c r="I104">
        <v>182.1</v>
      </c>
      <c r="J104">
        <v>163.9</v>
      </c>
      <c r="K104">
        <v>164.2</v>
      </c>
      <c r="L104">
        <v>164</v>
      </c>
      <c r="M104">
        <v>114.5</v>
      </c>
      <c r="N104">
        <v>168.3</v>
      </c>
      <c r="O104">
        <v>160.9</v>
      </c>
      <c r="P104">
        <v>172.2</v>
      </c>
      <c r="Q104">
        <v>164</v>
      </c>
      <c r="R104">
        <v>191.2</v>
      </c>
      <c r="S104">
        <v>162.80000000000001</v>
      </c>
      <c r="T104">
        <v>153.1</v>
      </c>
      <c r="U104">
        <v>161.4</v>
      </c>
      <c r="V104">
        <v>161.5</v>
      </c>
      <c r="W104">
        <v>160.69999999999999</v>
      </c>
      <c r="X104">
        <v>155.80000000000001</v>
      </c>
      <c r="Y104">
        <v>167</v>
      </c>
      <c r="Z104">
        <v>153.1</v>
      </c>
      <c r="AA104">
        <v>155.30000000000001</v>
      </c>
      <c r="AB104">
        <v>163.19999999999999</v>
      </c>
      <c r="AC104">
        <v>160.1</v>
      </c>
      <c r="AD104">
        <v>159</v>
      </c>
      <c r="AE104">
        <v>162.5</v>
      </c>
    </row>
    <row r="105" spans="1:31" x14ac:dyDescent="0.25">
      <c r="A105" s="1">
        <v>44409</v>
      </c>
      <c r="B105" s="2" t="s">
        <v>31</v>
      </c>
      <c r="C105">
        <v>2021</v>
      </c>
      <c r="D105" s="2" t="s">
        <v>39</v>
      </c>
      <c r="E105">
        <v>146.6</v>
      </c>
      <c r="F105">
        <v>204</v>
      </c>
      <c r="G105">
        <v>172.8</v>
      </c>
      <c r="H105">
        <v>158.4</v>
      </c>
      <c r="I105">
        <v>188</v>
      </c>
      <c r="J105">
        <v>156.80000000000001</v>
      </c>
      <c r="K105">
        <v>162.19999999999999</v>
      </c>
      <c r="L105">
        <v>164.1</v>
      </c>
      <c r="M105">
        <v>119.7</v>
      </c>
      <c r="N105">
        <v>168.8</v>
      </c>
      <c r="O105">
        <v>162.69999999999999</v>
      </c>
      <c r="P105">
        <v>173.9</v>
      </c>
      <c r="Q105">
        <v>164</v>
      </c>
      <c r="R105">
        <v>192.1</v>
      </c>
      <c r="S105">
        <v>164.5</v>
      </c>
      <c r="T105">
        <v>155.30000000000001</v>
      </c>
      <c r="U105">
        <v>163.19999999999999</v>
      </c>
      <c r="V105">
        <v>162.1</v>
      </c>
      <c r="W105">
        <v>162.6</v>
      </c>
      <c r="X105">
        <v>157.5</v>
      </c>
      <c r="Y105">
        <v>168.4</v>
      </c>
      <c r="Z105">
        <v>154</v>
      </c>
      <c r="AA105">
        <v>157.6</v>
      </c>
      <c r="AB105">
        <v>163.80000000000001</v>
      </c>
      <c r="AC105">
        <v>160</v>
      </c>
      <c r="AD105">
        <v>160</v>
      </c>
      <c r="AE105">
        <v>163.19999999999999</v>
      </c>
    </row>
    <row r="106" spans="1:31" x14ac:dyDescent="0.25">
      <c r="A106" s="1">
        <v>44440</v>
      </c>
      <c r="B106" s="2" t="s">
        <v>31</v>
      </c>
      <c r="C106">
        <v>2021</v>
      </c>
      <c r="D106" s="2" t="s">
        <v>40</v>
      </c>
      <c r="E106">
        <v>146.6</v>
      </c>
      <c r="F106">
        <v>204</v>
      </c>
      <c r="G106">
        <v>172.8</v>
      </c>
      <c r="H106">
        <v>158.4</v>
      </c>
      <c r="I106">
        <v>188</v>
      </c>
      <c r="J106">
        <v>156.69999999999999</v>
      </c>
      <c r="K106">
        <v>162.30000000000001</v>
      </c>
      <c r="L106">
        <v>164.1</v>
      </c>
      <c r="M106">
        <v>119.7</v>
      </c>
      <c r="N106">
        <v>168.8</v>
      </c>
      <c r="O106">
        <v>162.69999999999999</v>
      </c>
      <c r="P106">
        <v>173.9</v>
      </c>
      <c r="Q106">
        <v>164</v>
      </c>
      <c r="R106">
        <v>192.1</v>
      </c>
      <c r="S106">
        <v>164.6</v>
      </c>
      <c r="T106">
        <v>155.30000000000001</v>
      </c>
      <c r="U106">
        <v>163.30000000000001</v>
      </c>
      <c r="V106">
        <v>162.1</v>
      </c>
      <c r="W106">
        <v>162.6</v>
      </c>
      <c r="X106">
        <v>157.5</v>
      </c>
      <c r="Y106">
        <v>168.4</v>
      </c>
      <c r="Z106">
        <v>154</v>
      </c>
      <c r="AA106">
        <v>157.69999999999999</v>
      </c>
      <c r="AB106">
        <v>163.69999999999999</v>
      </c>
      <c r="AC106">
        <v>160</v>
      </c>
      <c r="AD106">
        <v>160</v>
      </c>
      <c r="AE106">
        <v>163.19999999999999</v>
      </c>
    </row>
    <row r="107" spans="1:31" x14ac:dyDescent="0.25">
      <c r="A107" s="1">
        <v>44470</v>
      </c>
      <c r="B107" s="2" t="s">
        <v>31</v>
      </c>
      <c r="C107">
        <v>2021</v>
      </c>
      <c r="D107" s="2" t="s">
        <v>41</v>
      </c>
      <c r="E107">
        <v>147.4</v>
      </c>
      <c r="F107">
        <v>204.6</v>
      </c>
      <c r="G107">
        <v>171.2</v>
      </c>
      <c r="H107">
        <v>158.69999999999999</v>
      </c>
      <c r="I107">
        <v>190.6</v>
      </c>
      <c r="J107">
        <v>155.69999999999999</v>
      </c>
      <c r="K107">
        <v>185.3</v>
      </c>
      <c r="L107">
        <v>165.2</v>
      </c>
      <c r="M107">
        <v>121.9</v>
      </c>
      <c r="N107">
        <v>169.3</v>
      </c>
      <c r="O107">
        <v>163.19999999999999</v>
      </c>
      <c r="P107">
        <v>174.7</v>
      </c>
      <c r="Q107">
        <v>167.7</v>
      </c>
      <c r="R107">
        <v>192.7</v>
      </c>
      <c r="S107">
        <v>165.7</v>
      </c>
      <c r="T107">
        <v>156.30000000000001</v>
      </c>
      <c r="U107">
        <v>164.3</v>
      </c>
      <c r="V107">
        <v>163.6</v>
      </c>
      <c r="W107">
        <v>164.2</v>
      </c>
      <c r="X107">
        <v>158.4</v>
      </c>
      <c r="Y107">
        <v>169.1</v>
      </c>
      <c r="Z107">
        <v>155.69999999999999</v>
      </c>
      <c r="AA107">
        <v>158.6</v>
      </c>
      <c r="AB107">
        <v>163.9</v>
      </c>
      <c r="AC107">
        <v>160.80000000000001</v>
      </c>
      <c r="AD107">
        <v>161</v>
      </c>
      <c r="AE107">
        <v>165.5</v>
      </c>
    </row>
    <row r="108" spans="1:31" x14ac:dyDescent="0.25">
      <c r="A108" s="1">
        <v>44501</v>
      </c>
      <c r="B108" s="2" t="s">
        <v>31</v>
      </c>
      <c r="C108">
        <v>2021</v>
      </c>
      <c r="D108" s="2" t="s">
        <v>42</v>
      </c>
      <c r="E108">
        <v>148.19999999999999</v>
      </c>
      <c r="F108">
        <v>201.6</v>
      </c>
      <c r="G108">
        <v>173</v>
      </c>
      <c r="H108">
        <v>159.30000000000001</v>
      </c>
      <c r="I108">
        <v>190.1</v>
      </c>
      <c r="J108">
        <v>156.5</v>
      </c>
      <c r="K108">
        <v>199.2</v>
      </c>
      <c r="L108">
        <v>165.3</v>
      </c>
      <c r="M108">
        <v>122.4</v>
      </c>
      <c r="N108">
        <v>169.6</v>
      </c>
      <c r="O108">
        <v>163.69999999999999</v>
      </c>
      <c r="P108">
        <v>175.5</v>
      </c>
      <c r="Q108">
        <v>169.7</v>
      </c>
      <c r="R108">
        <v>192.9</v>
      </c>
      <c r="S108">
        <v>167.2</v>
      </c>
      <c r="T108">
        <v>157.4</v>
      </c>
      <c r="U108">
        <v>165.8</v>
      </c>
      <c r="V108">
        <v>164.2</v>
      </c>
      <c r="W108">
        <v>163.9</v>
      </c>
      <c r="X108">
        <v>159.30000000000001</v>
      </c>
      <c r="Y108">
        <v>169.9</v>
      </c>
      <c r="Z108">
        <v>154.80000000000001</v>
      </c>
      <c r="AA108">
        <v>159.80000000000001</v>
      </c>
      <c r="AB108">
        <v>164.3</v>
      </c>
      <c r="AC108">
        <v>162.19999999999999</v>
      </c>
      <c r="AD108">
        <v>161.4</v>
      </c>
      <c r="AE108">
        <v>166.7</v>
      </c>
    </row>
    <row r="109" spans="1:31" x14ac:dyDescent="0.25">
      <c r="A109" s="1">
        <v>44531</v>
      </c>
      <c r="B109" s="2" t="s">
        <v>31</v>
      </c>
      <c r="C109">
        <v>2021</v>
      </c>
      <c r="D109" s="2" t="s">
        <v>43</v>
      </c>
      <c r="E109">
        <v>148.69999999999999</v>
      </c>
      <c r="F109">
        <v>198.8</v>
      </c>
      <c r="G109">
        <v>177.9</v>
      </c>
      <c r="H109">
        <v>159.9</v>
      </c>
      <c r="I109">
        <v>187.6</v>
      </c>
      <c r="J109">
        <v>154.9</v>
      </c>
      <c r="K109">
        <v>188.3</v>
      </c>
      <c r="L109">
        <v>164.4</v>
      </c>
      <c r="M109">
        <v>121</v>
      </c>
      <c r="N109">
        <v>170.5</v>
      </c>
      <c r="O109">
        <v>164.2</v>
      </c>
      <c r="P109">
        <v>176.5</v>
      </c>
      <c r="Q109">
        <v>168.2</v>
      </c>
      <c r="R109">
        <v>192.4</v>
      </c>
      <c r="S109">
        <v>168.5</v>
      </c>
      <c r="T109">
        <v>158.69999999999999</v>
      </c>
      <c r="U109">
        <v>167</v>
      </c>
      <c r="V109">
        <v>163.4</v>
      </c>
      <c r="W109">
        <v>164.1</v>
      </c>
      <c r="X109">
        <v>160.19999999999999</v>
      </c>
      <c r="Y109">
        <v>170.6</v>
      </c>
      <c r="Z109">
        <v>155.69999999999999</v>
      </c>
      <c r="AA109">
        <v>160.6</v>
      </c>
      <c r="AB109">
        <v>164.4</v>
      </c>
      <c r="AC109">
        <v>162.6</v>
      </c>
      <c r="AD109">
        <v>162</v>
      </c>
      <c r="AE109">
        <v>166.2</v>
      </c>
    </row>
    <row r="110" spans="1:31" x14ac:dyDescent="0.25">
      <c r="A110" s="1">
        <v>44562</v>
      </c>
      <c r="B110" s="2" t="s">
        <v>31</v>
      </c>
      <c r="C110">
        <v>2022</v>
      </c>
      <c r="D110" s="2" t="s">
        <v>32</v>
      </c>
      <c r="E110">
        <v>149.5</v>
      </c>
      <c r="F110">
        <v>198.7</v>
      </c>
      <c r="G110">
        <v>178.8</v>
      </c>
      <c r="H110">
        <v>160.5</v>
      </c>
      <c r="I110">
        <v>184.7</v>
      </c>
      <c r="J110">
        <v>153.69999999999999</v>
      </c>
      <c r="K110">
        <v>174.3</v>
      </c>
      <c r="L110">
        <v>163.9</v>
      </c>
      <c r="M110">
        <v>120</v>
      </c>
      <c r="N110">
        <v>172.1</v>
      </c>
      <c r="O110">
        <v>164.3</v>
      </c>
      <c r="P110">
        <v>177.3</v>
      </c>
      <c r="Q110">
        <v>166.4</v>
      </c>
      <c r="R110">
        <v>192.2</v>
      </c>
      <c r="S110">
        <v>169.9</v>
      </c>
      <c r="T110">
        <v>160.69999999999999</v>
      </c>
      <c r="U110">
        <v>168.5</v>
      </c>
      <c r="V110">
        <v>164.5</v>
      </c>
      <c r="W110">
        <v>164.2</v>
      </c>
      <c r="X110">
        <v>161.1</v>
      </c>
      <c r="Y110">
        <v>171.4</v>
      </c>
      <c r="Z110">
        <v>156.5</v>
      </c>
      <c r="AA110">
        <v>161.19999999999999</v>
      </c>
      <c r="AB110">
        <v>164.7</v>
      </c>
      <c r="AC110">
        <v>163</v>
      </c>
      <c r="AD110">
        <v>162.69999999999999</v>
      </c>
      <c r="AE110">
        <v>165.7</v>
      </c>
    </row>
    <row r="111" spans="1:31" x14ac:dyDescent="0.25">
      <c r="A111" s="1">
        <v>44593</v>
      </c>
      <c r="B111" s="2" t="s">
        <v>31</v>
      </c>
      <c r="C111">
        <v>2022</v>
      </c>
      <c r="D111" s="2" t="s">
        <v>33</v>
      </c>
      <c r="E111">
        <v>150</v>
      </c>
      <c r="F111">
        <v>200.6</v>
      </c>
      <c r="G111">
        <v>175.8</v>
      </c>
      <c r="H111">
        <v>160.69999999999999</v>
      </c>
      <c r="I111">
        <v>184.9</v>
      </c>
      <c r="J111">
        <v>153.69999999999999</v>
      </c>
      <c r="K111">
        <v>169.7</v>
      </c>
      <c r="L111">
        <v>163.69999999999999</v>
      </c>
      <c r="M111">
        <v>118.9</v>
      </c>
      <c r="N111">
        <v>174.3</v>
      </c>
      <c r="O111">
        <v>164.7</v>
      </c>
      <c r="P111">
        <v>178</v>
      </c>
      <c r="Q111">
        <v>166.2</v>
      </c>
      <c r="R111">
        <v>192.8</v>
      </c>
      <c r="S111">
        <v>170.8</v>
      </c>
      <c r="T111">
        <v>162.4</v>
      </c>
      <c r="U111">
        <v>169.6</v>
      </c>
      <c r="V111">
        <v>165.5</v>
      </c>
      <c r="W111">
        <v>165.7</v>
      </c>
      <c r="X111">
        <v>161.80000000000001</v>
      </c>
      <c r="Y111">
        <v>172.2</v>
      </c>
      <c r="Z111">
        <v>156.9</v>
      </c>
      <c r="AA111">
        <v>162.1</v>
      </c>
      <c r="AB111">
        <v>165.4</v>
      </c>
      <c r="AC111">
        <v>164.4</v>
      </c>
      <c r="AD111">
        <v>163.5</v>
      </c>
      <c r="AE111">
        <v>166.1</v>
      </c>
    </row>
    <row r="112" spans="1:31" x14ac:dyDescent="0.25">
      <c r="A112" s="1">
        <v>44621</v>
      </c>
      <c r="B112" s="2" t="s">
        <v>31</v>
      </c>
      <c r="C112">
        <v>2022</v>
      </c>
      <c r="D112" s="2" t="s">
        <v>34</v>
      </c>
      <c r="E112">
        <v>151.30000000000001</v>
      </c>
      <c r="F112">
        <v>210.7</v>
      </c>
      <c r="G112">
        <v>167.8</v>
      </c>
      <c r="H112">
        <v>162.19999999999999</v>
      </c>
      <c r="I112">
        <v>194.6</v>
      </c>
      <c r="J112">
        <v>157.6</v>
      </c>
      <c r="K112">
        <v>166.9</v>
      </c>
      <c r="L112">
        <v>163.9</v>
      </c>
      <c r="M112">
        <v>118.8</v>
      </c>
      <c r="N112">
        <v>177.4</v>
      </c>
      <c r="O112">
        <v>165.3</v>
      </c>
      <c r="P112">
        <v>179.3</v>
      </c>
      <c r="Q112">
        <v>168.4</v>
      </c>
      <c r="R112">
        <v>193.7</v>
      </c>
      <c r="S112">
        <v>172.1</v>
      </c>
      <c r="T112">
        <v>164.6</v>
      </c>
      <c r="U112">
        <v>171.1</v>
      </c>
      <c r="V112">
        <v>165.3</v>
      </c>
      <c r="W112">
        <v>167.2</v>
      </c>
      <c r="X112">
        <v>162.80000000000001</v>
      </c>
      <c r="Y112">
        <v>173</v>
      </c>
      <c r="Z112">
        <v>157.9</v>
      </c>
      <c r="AA112">
        <v>163.30000000000001</v>
      </c>
      <c r="AB112">
        <v>166</v>
      </c>
      <c r="AC112">
        <v>167.2</v>
      </c>
      <c r="AD112">
        <v>164.6</v>
      </c>
      <c r="AE112">
        <v>167.7</v>
      </c>
    </row>
    <row r="113" spans="1:31" x14ac:dyDescent="0.25">
      <c r="A113" s="1">
        <v>44652</v>
      </c>
      <c r="B113" s="2" t="s">
        <v>31</v>
      </c>
      <c r="C113">
        <v>2022</v>
      </c>
      <c r="D113" s="2" t="s">
        <v>35</v>
      </c>
      <c r="E113">
        <v>152.9</v>
      </c>
      <c r="F113">
        <v>211.8</v>
      </c>
      <c r="G113">
        <v>164.5</v>
      </c>
      <c r="H113">
        <v>163.9</v>
      </c>
      <c r="I113">
        <v>199.5</v>
      </c>
      <c r="J113">
        <v>172.6</v>
      </c>
      <c r="K113">
        <v>166.2</v>
      </c>
      <c r="L113">
        <v>164.7</v>
      </c>
      <c r="M113">
        <v>119</v>
      </c>
      <c r="N113">
        <v>181.3</v>
      </c>
      <c r="O113">
        <v>166.2</v>
      </c>
      <c r="P113">
        <v>180.9</v>
      </c>
      <c r="Q113">
        <v>170.8</v>
      </c>
      <c r="R113">
        <v>193.9</v>
      </c>
      <c r="S113">
        <v>173.9</v>
      </c>
      <c r="T113">
        <v>166.5</v>
      </c>
      <c r="U113">
        <v>172.8</v>
      </c>
      <c r="V113">
        <v>167</v>
      </c>
      <c r="W113">
        <v>172.2</v>
      </c>
      <c r="X113">
        <v>164</v>
      </c>
      <c r="Y113">
        <v>174</v>
      </c>
      <c r="Z113">
        <v>162.6</v>
      </c>
      <c r="AA113">
        <v>164.4</v>
      </c>
      <c r="AB113">
        <v>166.9</v>
      </c>
      <c r="AC113">
        <v>168.8</v>
      </c>
      <c r="AD113">
        <v>166.8</v>
      </c>
      <c r="AE113">
        <v>170.1</v>
      </c>
    </row>
    <row r="114" spans="1:31" x14ac:dyDescent="0.25">
      <c r="A114" s="1">
        <v>44682</v>
      </c>
      <c r="B114" s="2" t="s">
        <v>31</v>
      </c>
      <c r="C114">
        <v>2022</v>
      </c>
      <c r="D114" s="2" t="s">
        <v>36</v>
      </c>
      <c r="E114">
        <v>154.1</v>
      </c>
      <c r="F114">
        <v>217</v>
      </c>
      <c r="G114">
        <v>162.4</v>
      </c>
      <c r="H114">
        <v>164.9</v>
      </c>
      <c r="I114">
        <v>202.4</v>
      </c>
      <c r="J114">
        <v>171</v>
      </c>
      <c r="K114">
        <v>174.9</v>
      </c>
      <c r="L114">
        <v>164.7</v>
      </c>
      <c r="M114">
        <v>119.7</v>
      </c>
      <c r="N114">
        <v>184.9</v>
      </c>
      <c r="O114">
        <v>167.1</v>
      </c>
      <c r="P114">
        <v>182.5</v>
      </c>
      <c r="Q114">
        <v>173.3</v>
      </c>
      <c r="R114">
        <v>194.1</v>
      </c>
      <c r="S114">
        <v>175.6</v>
      </c>
      <c r="T114">
        <v>168.4</v>
      </c>
      <c r="U114">
        <v>174.6</v>
      </c>
      <c r="V114">
        <v>167.5</v>
      </c>
      <c r="W114">
        <v>174.6</v>
      </c>
      <c r="X114">
        <v>165.2</v>
      </c>
      <c r="Y114">
        <v>174.8</v>
      </c>
      <c r="Z114">
        <v>163</v>
      </c>
      <c r="AA114">
        <v>165.1</v>
      </c>
      <c r="AB114">
        <v>167.9</v>
      </c>
      <c r="AC114">
        <v>168.4</v>
      </c>
      <c r="AD114">
        <v>167.5</v>
      </c>
      <c r="AE114">
        <v>171.7</v>
      </c>
    </row>
    <row r="115" spans="1:31" x14ac:dyDescent="0.25">
      <c r="A115" s="1">
        <v>44713</v>
      </c>
      <c r="B115" s="2" t="s">
        <v>31</v>
      </c>
      <c r="C115">
        <v>2022</v>
      </c>
      <c r="D115" s="2" t="s">
        <v>37</v>
      </c>
      <c r="E115">
        <v>155</v>
      </c>
      <c r="F115">
        <v>219.4</v>
      </c>
      <c r="G115">
        <v>170.8</v>
      </c>
      <c r="H115">
        <v>165.8</v>
      </c>
      <c r="I115">
        <v>200.9</v>
      </c>
      <c r="J115">
        <v>169.7</v>
      </c>
      <c r="K115">
        <v>182.3</v>
      </c>
      <c r="L115">
        <v>164.3</v>
      </c>
      <c r="M115">
        <v>119.9</v>
      </c>
      <c r="N115">
        <v>187.1</v>
      </c>
      <c r="O115">
        <v>167.9</v>
      </c>
      <c r="P115">
        <v>183.9</v>
      </c>
      <c r="Q115">
        <v>174.9</v>
      </c>
      <c r="R115">
        <v>194.3</v>
      </c>
      <c r="S115">
        <v>177.1</v>
      </c>
      <c r="T115">
        <v>169.9</v>
      </c>
      <c r="U115">
        <v>176</v>
      </c>
      <c r="V115">
        <v>166.8</v>
      </c>
      <c r="W115">
        <v>176</v>
      </c>
      <c r="X115">
        <v>166.4</v>
      </c>
      <c r="Y115">
        <v>175.4</v>
      </c>
      <c r="Z115">
        <v>161.1</v>
      </c>
      <c r="AA115">
        <v>165.8</v>
      </c>
      <c r="AB115">
        <v>169</v>
      </c>
      <c r="AC115">
        <v>169.4</v>
      </c>
      <c r="AD115">
        <v>167.5</v>
      </c>
      <c r="AE115">
        <v>172.6</v>
      </c>
    </row>
    <row r="116" spans="1:31" x14ac:dyDescent="0.25">
      <c r="A116" s="1">
        <v>44743</v>
      </c>
      <c r="B116" s="2" t="s">
        <v>31</v>
      </c>
      <c r="C116">
        <v>2022</v>
      </c>
      <c r="D116" s="2" t="s">
        <v>38</v>
      </c>
      <c r="E116">
        <v>156.5</v>
      </c>
      <c r="F116">
        <v>213</v>
      </c>
      <c r="G116">
        <v>175.2</v>
      </c>
      <c r="H116">
        <v>166.6</v>
      </c>
      <c r="I116">
        <v>195.8</v>
      </c>
      <c r="J116">
        <v>174.2</v>
      </c>
      <c r="K116">
        <v>182.1</v>
      </c>
      <c r="L116">
        <v>164.3</v>
      </c>
      <c r="M116">
        <v>120</v>
      </c>
      <c r="N116">
        <v>190</v>
      </c>
      <c r="O116">
        <v>168.4</v>
      </c>
      <c r="P116">
        <v>185.2</v>
      </c>
      <c r="Q116">
        <v>175</v>
      </c>
      <c r="R116">
        <v>194.6</v>
      </c>
      <c r="S116">
        <v>178.3</v>
      </c>
      <c r="T116">
        <v>171.3</v>
      </c>
      <c r="U116">
        <v>177.3</v>
      </c>
      <c r="V116">
        <v>167.8</v>
      </c>
      <c r="W116">
        <v>179.6</v>
      </c>
      <c r="X116">
        <v>167.4</v>
      </c>
      <c r="Y116">
        <v>176.1</v>
      </c>
      <c r="Z116">
        <v>161.6</v>
      </c>
      <c r="AA116">
        <v>166.3</v>
      </c>
      <c r="AB116">
        <v>171.4</v>
      </c>
      <c r="AC116">
        <v>169.7</v>
      </c>
      <c r="AD116">
        <v>168.4</v>
      </c>
      <c r="AE116">
        <v>173.4</v>
      </c>
    </row>
    <row r="117" spans="1:31" x14ac:dyDescent="0.25">
      <c r="A117" s="1">
        <v>44774</v>
      </c>
      <c r="B117" s="2" t="s">
        <v>31</v>
      </c>
      <c r="C117">
        <v>2022</v>
      </c>
      <c r="D117" s="2" t="s">
        <v>39</v>
      </c>
      <c r="E117">
        <v>160.30000000000001</v>
      </c>
      <c r="F117">
        <v>206.5</v>
      </c>
      <c r="G117">
        <v>169.2</v>
      </c>
      <c r="H117">
        <v>168.1</v>
      </c>
      <c r="I117">
        <v>192.4</v>
      </c>
      <c r="J117">
        <v>172.9</v>
      </c>
      <c r="K117">
        <v>186.7</v>
      </c>
      <c r="L117">
        <v>167.2</v>
      </c>
      <c r="M117">
        <v>120.9</v>
      </c>
      <c r="N117">
        <v>193.6</v>
      </c>
      <c r="O117">
        <v>168.8</v>
      </c>
      <c r="P117">
        <v>186.3</v>
      </c>
      <c r="Q117">
        <v>176.3</v>
      </c>
      <c r="R117">
        <v>195</v>
      </c>
      <c r="S117">
        <v>179.5</v>
      </c>
      <c r="T117">
        <v>172.7</v>
      </c>
      <c r="U117">
        <v>178.5</v>
      </c>
      <c r="V117">
        <v>169</v>
      </c>
      <c r="W117">
        <v>178.8</v>
      </c>
      <c r="X117">
        <v>168.5</v>
      </c>
      <c r="Y117">
        <v>176.8</v>
      </c>
      <c r="Z117">
        <v>161.9</v>
      </c>
      <c r="AA117">
        <v>166.9</v>
      </c>
      <c r="AB117">
        <v>172.3</v>
      </c>
      <c r="AC117">
        <v>171.2</v>
      </c>
      <c r="AD117">
        <v>169.1</v>
      </c>
      <c r="AE117">
        <v>174.3</v>
      </c>
    </row>
    <row r="118" spans="1:31" x14ac:dyDescent="0.25">
      <c r="A118" s="1">
        <v>44805</v>
      </c>
      <c r="B118" s="2" t="s">
        <v>31</v>
      </c>
      <c r="C118">
        <v>2022</v>
      </c>
      <c r="D118" s="2" t="s">
        <v>40</v>
      </c>
      <c r="E118">
        <v>163.5</v>
      </c>
      <c r="F118">
        <v>209.2</v>
      </c>
      <c r="G118">
        <v>169.7</v>
      </c>
      <c r="H118">
        <v>169.7</v>
      </c>
      <c r="I118">
        <v>188.7</v>
      </c>
      <c r="J118">
        <v>165.7</v>
      </c>
      <c r="K118">
        <v>191.8</v>
      </c>
      <c r="L118">
        <v>169.1</v>
      </c>
      <c r="M118">
        <v>121.6</v>
      </c>
      <c r="N118">
        <v>197.3</v>
      </c>
      <c r="O118">
        <v>169.4</v>
      </c>
      <c r="P118">
        <v>187.4</v>
      </c>
      <c r="Q118">
        <v>177.8</v>
      </c>
      <c r="R118">
        <v>195.9</v>
      </c>
      <c r="S118">
        <v>180.9</v>
      </c>
      <c r="T118">
        <v>174.3</v>
      </c>
      <c r="U118">
        <v>179.9</v>
      </c>
      <c r="V118">
        <v>169.5</v>
      </c>
      <c r="W118">
        <v>179.5</v>
      </c>
      <c r="X118">
        <v>169.5</v>
      </c>
      <c r="Y118">
        <v>177.8</v>
      </c>
      <c r="Z118">
        <v>162.30000000000001</v>
      </c>
      <c r="AA118">
        <v>167.6</v>
      </c>
      <c r="AB118">
        <v>173.1</v>
      </c>
      <c r="AC118">
        <v>170.9</v>
      </c>
      <c r="AD118">
        <v>169.7</v>
      </c>
      <c r="AE118">
        <v>175.3</v>
      </c>
    </row>
    <row r="119" spans="1:31" x14ac:dyDescent="0.25">
      <c r="A119" s="1">
        <v>44835</v>
      </c>
      <c r="B119" s="2" t="s">
        <v>31</v>
      </c>
      <c r="C119">
        <v>2022</v>
      </c>
      <c r="D119" s="2" t="s">
        <v>41</v>
      </c>
      <c r="E119">
        <v>165.2</v>
      </c>
      <c r="F119">
        <v>210.9</v>
      </c>
      <c r="G119">
        <v>170.9</v>
      </c>
      <c r="H119">
        <v>170.9</v>
      </c>
      <c r="I119">
        <v>186.5</v>
      </c>
      <c r="J119">
        <v>163.80000000000001</v>
      </c>
      <c r="K119">
        <v>199.7</v>
      </c>
      <c r="L119">
        <v>169.8</v>
      </c>
      <c r="M119">
        <v>121.9</v>
      </c>
      <c r="N119">
        <v>199.9</v>
      </c>
      <c r="O119">
        <v>169.9</v>
      </c>
      <c r="P119">
        <v>188.3</v>
      </c>
      <c r="Q119">
        <v>179.6</v>
      </c>
      <c r="R119">
        <v>196.3</v>
      </c>
      <c r="S119">
        <v>181.9</v>
      </c>
      <c r="T119">
        <v>175.3</v>
      </c>
      <c r="U119">
        <v>181</v>
      </c>
      <c r="V119">
        <v>171.2</v>
      </c>
      <c r="W119">
        <v>180.5</v>
      </c>
      <c r="X119">
        <v>170.4</v>
      </c>
      <c r="Y119">
        <v>178.7</v>
      </c>
      <c r="Z119">
        <v>162.9</v>
      </c>
      <c r="AA119">
        <v>168.2</v>
      </c>
      <c r="AB119">
        <v>173.4</v>
      </c>
      <c r="AC119">
        <v>172.1</v>
      </c>
      <c r="AD119">
        <v>170.5</v>
      </c>
      <c r="AE119">
        <v>176.7</v>
      </c>
    </row>
    <row r="120" spans="1:31" x14ac:dyDescent="0.25">
      <c r="A120" s="1">
        <v>44866</v>
      </c>
      <c r="B120" s="2" t="s">
        <v>31</v>
      </c>
      <c r="C120">
        <v>2022</v>
      </c>
      <c r="D120" s="2" t="s">
        <v>42</v>
      </c>
      <c r="E120">
        <v>167.4</v>
      </c>
      <c r="F120">
        <v>209.4</v>
      </c>
      <c r="G120">
        <v>181.4</v>
      </c>
      <c r="H120">
        <v>172.3</v>
      </c>
      <c r="I120">
        <v>188.9</v>
      </c>
      <c r="J120">
        <v>160.69999999999999</v>
      </c>
      <c r="K120">
        <v>183.1</v>
      </c>
      <c r="L120">
        <v>170.5</v>
      </c>
      <c r="M120">
        <v>122.1</v>
      </c>
      <c r="N120">
        <v>202.8</v>
      </c>
      <c r="O120">
        <v>170.4</v>
      </c>
      <c r="P120">
        <v>189.5</v>
      </c>
      <c r="Q120">
        <v>178.3</v>
      </c>
      <c r="R120">
        <v>196.9</v>
      </c>
      <c r="S120">
        <v>183.1</v>
      </c>
      <c r="T120">
        <v>176.2</v>
      </c>
      <c r="U120">
        <v>182.1</v>
      </c>
      <c r="V120">
        <v>171.8</v>
      </c>
      <c r="W120">
        <v>181.3</v>
      </c>
      <c r="X120">
        <v>171.4</v>
      </c>
      <c r="Y120">
        <v>179.8</v>
      </c>
      <c r="Z120">
        <v>163</v>
      </c>
      <c r="AA120">
        <v>168.5</v>
      </c>
      <c r="AB120">
        <v>173.7</v>
      </c>
      <c r="AC120">
        <v>173.6</v>
      </c>
      <c r="AD120">
        <v>171.1</v>
      </c>
      <c r="AE120">
        <v>176.5</v>
      </c>
    </row>
    <row r="121" spans="1:31" x14ac:dyDescent="0.25">
      <c r="A121" s="1">
        <v>44896</v>
      </c>
      <c r="B121" s="2" t="s">
        <v>31</v>
      </c>
      <c r="C121">
        <v>2022</v>
      </c>
      <c r="D121" s="2" t="s">
        <v>43</v>
      </c>
      <c r="E121">
        <v>169.2</v>
      </c>
      <c r="F121">
        <v>209</v>
      </c>
      <c r="G121">
        <v>190.2</v>
      </c>
      <c r="H121">
        <v>173.6</v>
      </c>
      <c r="I121">
        <v>188.5</v>
      </c>
      <c r="J121">
        <v>158</v>
      </c>
      <c r="K121">
        <v>159.9</v>
      </c>
      <c r="L121">
        <v>170.8</v>
      </c>
      <c r="M121">
        <v>121.8</v>
      </c>
      <c r="N121">
        <v>205.2</v>
      </c>
      <c r="O121">
        <v>171</v>
      </c>
      <c r="P121">
        <v>190.3</v>
      </c>
      <c r="Q121">
        <v>175.9</v>
      </c>
      <c r="R121">
        <v>197.3</v>
      </c>
      <c r="S121">
        <v>184</v>
      </c>
      <c r="T121">
        <v>177</v>
      </c>
      <c r="U121">
        <v>183</v>
      </c>
      <c r="V121">
        <v>170.7</v>
      </c>
      <c r="W121">
        <v>182</v>
      </c>
      <c r="X121">
        <v>172.1</v>
      </c>
      <c r="Y121">
        <v>181.1</v>
      </c>
      <c r="Z121">
        <v>163.4</v>
      </c>
      <c r="AA121">
        <v>168.9</v>
      </c>
      <c r="AB121">
        <v>174.1</v>
      </c>
      <c r="AC121">
        <v>175.8</v>
      </c>
      <c r="AD121">
        <v>172</v>
      </c>
      <c r="AE121">
        <v>175.7</v>
      </c>
    </row>
    <row r="122" spans="1:31" x14ac:dyDescent="0.25">
      <c r="A122" s="1">
        <v>44927</v>
      </c>
      <c r="B122" s="2" t="s">
        <v>31</v>
      </c>
      <c r="C122">
        <v>2023</v>
      </c>
      <c r="D122" s="2" t="s">
        <v>32</v>
      </c>
      <c r="E122">
        <v>173.8</v>
      </c>
      <c r="F122">
        <v>210.7</v>
      </c>
      <c r="G122">
        <v>194.5</v>
      </c>
      <c r="H122">
        <v>174.6</v>
      </c>
      <c r="I122">
        <v>187.2</v>
      </c>
      <c r="J122">
        <v>158.30000000000001</v>
      </c>
      <c r="K122">
        <v>153.9</v>
      </c>
      <c r="L122">
        <v>170.9</v>
      </c>
      <c r="M122">
        <v>121.1</v>
      </c>
      <c r="N122">
        <v>208.4</v>
      </c>
      <c r="O122">
        <v>171.4</v>
      </c>
      <c r="P122">
        <v>191.2</v>
      </c>
      <c r="Q122">
        <v>176.7</v>
      </c>
      <c r="R122">
        <v>198.2</v>
      </c>
      <c r="S122">
        <v>184.9</v>
      </c>
      <c r="T122">
        <v>177.6</v>
      </c>
      <c r="U122">
        <v>183.8</v>
      </c>
      <c r="V122">
        <v>172.1</v>
      </c>
      <c r="W122">
        <v>182</v>
      </c>
      <c r="X122">
        <v>172.9</v>
      </c>
      <c r="Y122">
        <v>182.3</v>
      </c>
      <c r="Z122">
        <v>163.6</v>
      </c>
      <c r="AA122">
        <v>169.5</v>
      </c>
      <c r="AB122">
        <v>174.3</v>
      </c>
      <c r="AC122">
        <v>178.6</v>
      </c>
      <c r="AD122">
        <v>172.8</v>
      </c>
      <c r="AE122">
        <v>176.5</v>
      </c>
    </row>
    <row r="123" spans="1:31" x14ac:dyDescent="0.25">
      <c r="A123" s="1">
        <v>44958</v>
      </c>
      <c r="B123" s="2" t="s">
        <v>31</v>
      </c>
      <c r="C123">
        <v>2023</v>
      </c>
      <c r="D123" s="2" t="s">
        <v>33</v>
      </c>
      <c r="E123">
        <v>174.4</v>
      </c>
      <c r="F123">
        <v>207.7</v>
      </c>
      <c r="G123">
        <v>175.2</v>
      </c>
      <c r="H123">
        <v>177.3</v>
      </c>
      <c r="I123">
        <v>179.3</v>
      </c>
      <c r="J123">
        <v>169.5</v>
      </c>
      <c r="K123">
        <v>152.69999999999999</v>
      </c>
      <c r="L123">
        <v>171</v>
      </c>
      <c r="M123">
        <v>120</v>
      </c>
      <c r="N123">
        <v>209.7</v>
      </c>
      <c r="O123">
        <v>172.3</v>
      </c>
      <c r="P123">
        <v>193</v>
      </c>
      <c r="Q123">
        <v>177</v>
      </c>
      <c r="R123">
        <v>199.5</v>
      </c>
      <c r="S123">
        <v>186.2</v>
      </c>
      <c r="T123">
        <v>178.7</v>
      </c>
      <c r="U123">
        <v>185.1</v>
      </c>
      <c r="V123">
        <v>173.5</v>
      </c>
      <c r="W123">
        <v>182.1</v>
      </c>
      <c r="X123">
        <v>174.2</v>
      </c>
      <c r="Y123">
        <v>184.4</v>
      </c>
      <c r="Z123">
        <v>164.2</v>
      </c>
      <c r="AA123">
        <v>170.3</v>
      </c>
      <c r="AB123">
        <v>175</v>
      </c>
      <c r="AC123">
        <v>181</v>
      </c>
      <c r="AD123">
        <v>174.1</v>
      </c>
      <c r="AE123">
        <v>177.2</v>
      </c>
    </row>
    <row r="124" spans="1:31" x14ac:dyDescent="0.25">
      <c r="A124" s="1">
        <v>44986</v>
      </c>
      <c r="B124" s="2" t="s">
        <v>31</v>
      </c>
      <c r="C124">
        <v>2023</v>
      </c>
      <c r="D124" s="2" t="s">
        <v>34</v>
      </c>
      <c r="E124">
        <v>174.4</v>
      </c>
      <c r="F124">
        <v>207.7</v>
      </c>
      <c r="G124">
        <v>175.2</v>
      </c>
      <c r="H124">
        <v>177.3</v>
      </c>
      <c r="I124">
        <v>179.2</v>
      </c>
      <c r="J124">
        <v>169.5</v>
      </c>
      <c r="K124">
        <v>152.80000000000001</v>
      </c>
      <c r="L124">
        <v>171.1</v>
      </c>
      <c r="M124">
        <v>120</v>
      </c>
      <c r="N124">
        <v>209.7</v>
      </c>
      <c r="O124">
        <v>172.3</v>
      </c>
      <c r="P124">
        <v>193</v>
      </c>
      <c r="Q124">
        <v>177</v>
      </c>
      <c r="R124">
        <v>199.5</v>
      </c>
      <c r="S124">
        <v>186.1</v>
      </c>
      <c r="T124">
        <v>178.7</v>
      </c>
      <c r="U124">
        <v>185.1</v>
      </c>
      <c r="V124">
        <v>173.5</v>
      </c>
      <c r="W124">
        <v>181.9</v>
      </c>
      <c r="X124">
        <v>174.2</v>
      </c>
      <c r="Y124">
        <v>184.4</v>
      </c>
      <c r="Z124">
        <v>164.2</v>
      </c>
      <c r="AA124">
        <v>170.3</v>
      </c>
      <c r="AB124">
        <v>175</v>
      </c>
      <c r="AC124">
        <v>181</v>
      </c>
      <c r="AD124">
        <v>174.1</v>
      </c>
      <c r="AE124">
        <v>177.2</v>
      </c>
    </row>
    <row r="125" spans="1:31" x14ac:dyDescent="0.25">
      <c r="A125" s="1">
        <v>45017</v>
      </c>
      <c r="B125" s="2" t="s">
        <v>31</v>
      </c>
      <c r="C125">
        <v>2023</v>
      </c>
      <c r="D125" s="2" t="s">
        <v>35</v>
      </c>
      <c r="E125">
        <v>173.8</v>
      </c>
      <c r="F125">
        <v>209.3</v>
      </c>
      <c r="G125">
        <v>169.6</v>
      </c>
      <c r="H125">
        <v>178.4</v>
      </c>
      <c r="I125">
        <v>174.9</v>
      </c>
      <c r="J125">
        <v>176.3</v>
      </c>
      <c r="K125">
        <v>155.4</v>
      </c>
      <c r="L125">
        <v>173.4</v>
      </c>
      <c r="M125">
        <v>121.3</v>
      </c>
      <c r="N125">
        <v>212.9</v>
      </c>
      <c r="O125">
        <v>172.9</v>
      </c>
      <c r="P125">
        <v>193.5</v>
      </c>
      <c r="Q125">
        <v>177.9</v>
      </c>
      <c r="R125">
        <v>200.6</v>
      </c>
      <c r="S125">
        <v>186.9</v>
      </c>
      <c r="T125">
        <v>179.2</v>
      </c>
      <c r="U125">
        <v>185.7</v>
      </c>
      <c r="V125">
        <v>175.2</v>
      </c>
      <c r="W125">
        <v>181.7</v>
      </c>
      <c r="X125">
        <v>174.6</v>
      </c>
      <c r="Y125">
        <v>185</v>
      </c>
      <c r="Z125">
        <v>164.5</v>
      </c>
      <c r="AA125">
        <v>170.7</v>
      </c>
      <c r="AB125">
        <v>176.4</v>
      </c>
      <c r="AC125">
        <v>184</v>
      </c>
      <c r="AD125">
        <v>175</v>
      </c>
      <c r="AE125">
        <v>178.1</v>
      </c>
    </row>
    <row r="126" spans="1:31" x14ac:dyDescent="0.25">
      <c r="A126" s="1">
        <v>45047</v>
      </c>
      <c r="B126" s="2" t="s">
        <v>31</v>
      </c>
      <c r="C126">
        <v>2023</v>
      </c>
      <c r="D126" s="2" t="s">
        <v>36</v>
      </c>
      <c r="E126">
        <v>173.7</v>
      </c>
      <c r="F126">
        <v>214.3</v>
      </c>
      <c r="G126">
        <v>173.2</v>
      </c>
      <c r="H126">
        <v>179.5</v>
      </c>
      <c r="I126">
        <v>170</v>
      </c>
      <c r="J126">
        <v>172.2</v>
      </c>
      <c r="K126">
        <v>161</v>
      </c>
      <c r="L126">
        <v>175.6</v>
      </c>
      <c r="M126">
        <v>122.7</v>
      </c>
      <c r="N126">
        <v>218</v>
      </c>
      <c r="O126">
        <v>173.4</v>
      </c>
      <c r="P126">
        <v>194.2</v>
      </c>
      <c r="Q126">
        <v>179.1</v>
      </c>
      <c r="R126">
        <v>201</v>
      </c>
      <c r="S126">
        <v>187.3</v>
      </c>
      <c r="T126">
        <v>179.7</v>
      </c>
      <c r="U126">
        <v>186.2</v>
      </c>
      <c r="V126">
        <v>175.6</v>
      </c>
      <c r="W126">
        <v>182.8</v>
      </c>
      <c r="X126">
        <v>175.2</v>
      </c>
      <c r="Y126">
        <v>185.7</v>
      </c>
      <c r="Z126">
        <v>164.8</v>
      </c>
      <c r="AA126">
        <v>171.2</v>
      </c>
      <c r="AB126">
        <v>177.1</v>
      </c>
      <c r="AC126">
        <v>185.2</v>
      </c>
      <c r="AD126">
        <v>175.7</v>
      </c>
      <c r="AE126">
        <v>179.1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86A6-9464-49B9-81BF-02A09C8DB87F}">
  <dimension ref="A1:AE126"/>
  <sheetViews>
    <sheetView workbookViewId="0">
      <pane ySplit="1" topLeftCell="A104" activePane="bottomLeft" state="frozen"/>
      <selection pane="bottomLeft" activeCell="Z89" sqref="Z89"/>
    </sheetView>
  </sheetViews>
  <sheetFormatPr defaultRowHeight="15" x14ac:dyDescent="0.25"/>
  <cols>
    <col min="1" max="1" width="10.42578125" bestFit="1" customWidth="1"/>
    <col min="3" max="3" width="10.42578125" bestFit="1" customWidth="1"/>
    <col min="29" max="29" width="23.5703125" bestFit="1" customWidth="1"/>
    <col min="30" max="30" width="14" bestFit="1" customWidth="1"/>
    <col min="31" max="31" width="13.7109375" bestFit="1" customWidth="1"/>
  </cols>
  <sheetData>
    <row r="1" spans="1:31"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5" t="s">
        <v>30</v>
      </c>
    </row>
    <row r="2" spans="1:31" x14ac:dyDescent="0.25">
      <c r="A2" s="1">
        <f>'Cleaned Data'!A2</f>
        <v>41275</v>
      </c>
      <c r="B2" s="1" t="str">
        <f>'Cleaned Data'!B2</f>
        <v>Rural+Urban</v>
      </c>
      <c r="C2" s="2">
        <f>'Cleaned Data'!C2</f>
        <v>2013</v>
      </c>
      <c r="D2" s="1" t="str">
        <f>'Cleaned Data'!D2</f>
        <v>January</v>
      </c>
      <c r="E2" s="2">
        <f>'Cleaned Data'!E2</f>
        <v>108.4</v>
      </c>
      <c r="F2" s="2">
        <f>'Cleaned Data'!F2</f>
        <v>107.3</v>
      </c>
      <c r="G2" s="2">
        <f>'Cleaned Data'!G2</f>
        <v>110</v>
      </c>
      <c r="H2" s="2">
        <f>'Cleaned Data'!H2</f>
        <v>104.4</v>
      </c>
      <c r="I2" s="2">
        <f>'Cleaned Data'!I2</f>
        <v>105.1</v>
      </c>
      <c r="J2" s="2">
        <f>'Cleaned Data'!J2</f>
        <v>103.2</v>
      </c>
      <c r="K2" s="2">
        <f>'Cleaned Data'!K2</f>
        <v>102.2</v>
      </c>
      <c r="L2" s="2">
        <f>'Cleaned Data'!L2</f>
        <v>106</v>
      </c>
      <c r="M2" s="2">
        <f>'Cleaned Data'!M2</f>
        <v>106.2</v>
      </c>
      <c r="N2" s="2">
        <f>'Cleaned Data'!N2</f>
        <v>102.7</v>
      </c>
      <c r="O2" s="2">
        <f>'Cleaned Data'!O2</f>
        <v>104.9</v>
      </c>
      <c r="P2" s="2">
        <f>'Cleaned Data'!P2</f>
        <v>107.3</v>
      </c>
      <c r="Q2" s="2">
        <f>'Cleaned Data'!Q2</f>
        <v>105.6</v>
      </c>
      <c r="R2" s="2">
        <f>'Cleaned Data'!R2</f>
        <v>105.1</v>
      </c>
      <c r="S2" s="2">
        <f>'Cleaned Data'!S2</f>
        <v>106.3</v>
      </c>
      <c r="T2" s="2">
        <f>'Cleaned Data'!T2</f>
        <v>105.5</v>
      </c>
      <c r="U2" s="2">
        <f>'Cleaned Data'!U2</f>
        <v>106.2</v>
      </c>
      <c r="V2" s="2">
        <f>'Cleaned Data'!V2</f>
        <v>100.3</v>
      </c>
      <c r="W2" s="2">
        <f>'Cleaned Data'!W2</f>
        <v>105.5</v>
      </c>
      <c r="X2" s="2">
        <f>'Cleaned Data'!X2</f>
        <v>104.8</v>
      </c>
      <c r="Y2" s="2">
        <f>'Cleaned Data'!Y2</f>
        <v>104</v>
      </c>
      <c r="Z2" s="2">
        <f>'Cleaned Data'!Z2</f>
        <v>103.2</v>
      </c>
      <c r="AA2" s="2">
        <f>'Cleaned Data'!AA2</f>
        <v>103.1</v>
      </c>
      <c r="AB2" s="2">
        <f>'Cleaned Data'!AB2</f>
        <v>103.6</v>
      </c>
      <c r="AC2" s="2">
        <f>'Cleaned Data'!AC2</f>
        <v>104.5</v>
      </c>
      <c r="AD2" s="2">
        <f>'Cleaned Data'!AD2</f>
        <v>103.9</v>
      </c>
      <c r="AE2" s="2">
        <f>'Cleaned Data'!AE2</f>
        <v>104.6</v>
      </c>
    </row>
    <row r="3" spans="1:31" x14ac:dyDescent="0.25">
      <c r="A3" s="1">
        <f>'Cleaned Data'!A3</f>
        <v>41306</v>
      </c>
      <c r="B3" s="1" t="str">
        <f>'Cleaned Data'!B3</f>
        <v>Rural+Urban</v>
      </c>
      <c r="C3" s="2">
        <f>'Cleaned Data'!C3</f>
        <v>2013</v>
      </c>
      <c r="D3" s="1" t="str">
        <f>'Cleaned Data'!D3</f>
        <v>February</v>
      </c>
      <c r="E3" s="2">
        <f>'Cleaned Data'!E3</f>
        <v>110.4</v>
      </c>
      <c r="F3" s="2">
        <f>'Cleaned Data'!F3</f>
        <v>110.2</v>
      </c>
      <c r="G3" s="2">
        <f>'Cleaned Data'!G3</f>
        <v>112.8</v>
      </c>
      <c r="H3" s="2">
        <f>'Cleaned Data'!H3</f>
        <v>104.9</v>
      </c>
      <c r="I3" s="2">
        <f>'Cleaned Data'!I3</f>
        <v>105.5</v>
      </c>
      <c r="J3" s="2">
        <f>'Cleaned Data'!J3</f>
        <v>103.6</v>
      </c>
      <c r="K3" s="2">
        <f>'Cleaned Data'!K3</f>
        <v>103.2</v>
      </c>
      <c r="L3" s="2">
        <f>'Cleaned Data'!L3</f>
        <v>105.3</v>
      </c>
      <c r="M3" s="2">
        <f>'Cleaned Data'!M3</f>
        <v>105.1</v>
      </c>
      <c r="N3" s="2">
        <f>'Cleaned Data'!N3</f>
        <v>102.8</v>
      </c>
      <c r="O3" s="2">
        <f>'Cleaned Data'!O3</f>
        <v>105.5</v>
      </c>
      <c r="P3" s="2">
        <f>'Cleaned Data'!P3</f>
        <v>108.3</v>
      </c>
      <c r="Q3" s="2">
        <f>'Cleaned Data'!Q3</f>
        <v>106.6</v>
      </c>
      <c r="R3" s="2">
        <f>'Cleaned Data'!R3</f>
        <v>105.7</v>
      </c>
      <c r="S3" s="2">
        <f>'Cleaned Data'!S3</f>
        <v>106.9</v>
      </c>
      <c r="T3" s="2">
        <f>'Cleaned Data'!T3</f>
        <v>106</v>
      </c>
      <c r="U3" s="2">
        <f>'Cleaned Data'!U3</f>
        <v>106.8</v>
      </c>
      <c r="V3" s="2">
        <f>'Cleaned Data'!V3</f>
        <v>100.4</v>
      </c>
      <c r="W3" s="2">
        <f>'Cleaned Data'!W3</f>
        <v>106</v>
      </c>
      <c r="X3" s="2">
        <f>'Cleaned Data'!X3</f>
        <v>105.2</v>
      </c>
      <c r="Y3" s="2">
        <f>'Cleaned Data'!Y3</f>
        <v>104.5</v>
      </c>
      <c r="Z3" s="2">
        <f>'Cleaned Data'!Z3</f>
        <v>104.2</v>
      </c>
      <c r="AA3" s="2">
        <f>'Cleaned Data'!AA3</f>
        <v>103.6</v>
      </c>
      <c r="AB3" s="2">
        <f>'Cleaned Data'!AB3</f>
        <v>103.9</v>
      </c>
      <c r="AC3" s="2">
        <f>'Cleaned Data'!AC3</f>
        <v>104.5</v>
      </c>
      <c r="AD3" s="2">
        <f>'Cleaned Data'!AD3</f>
        <v>104.4</v>
      </c>
      <c r="AE3" s="2">
        <f>'Cleaned Data'!AE3</f>
        <v>105.3</v>
      </c>
    </row>
    <row r="4" spans="1:31" x14ac:dyDescent="0.25">
      <c r="A4" s="1">
        <f>'Cleaned Data'!A4</f>
        <v>41334</v>
      </c>
      <c r="B4" s="1" t="str">
        <f>'Cleaned Data'!B4</f>
        <v>Rural+Urban</v>
      </c>
      <c r="C4" s="2">
        <f>'Cleaned Data'!C4</f>
        <v>2013</v>
      </c>
      <c r="D4" s="1" t="str">
        <f>'Cleaned Data'!D4</f>
        <v>March</v>
      </c>
      <c r="E4" s="2">
        <f>'Cleaned Data'!E4</f>
        <v>111.4</v>
      </c>
      <c r="F4" s="2">
        <f>'Cleaned Data'!F4</f>
        <v>109.7</v>
      </c>
      <c r="G4" s="2">
        <f>'Cleaned Data'!G4</f>
        <v>111.2</v>
      </c>
      <c r="H4" s="2">
        <f>'Cleaned Data'!H4</f>
        <v>105.1</v>
      </c>
      <c r="I4" s="2">
        <f>'Cleaned Data'!I4</f>
        <v>104.9</v>
      </c>
      <c r="J4" s="2">
        <f>'Cleaned Data'!J4</f>
        <v>105.3</v>
      </c>
      <c r="K4" s="2">
        <f>'Cleaned Data'!K4</f>
        <v>102.2</v>
      </c>
      <c r="L4" s="2">
        <f>'Cleaned Data'!L4</f>
        <v>105</v>
      </c>
      <c r="M4" s="2">
        <f>'Cleaned Data'!M4</f>
        <v>104.2</v>
      </c>
      <c r="N4" s="2">
        <f>'Cleaned Data'!N4</f>
        <v>103</v>
      </c>
      <c r="O4" s="2">
        <f>'Cleaned Data'!O4</f>
        <v>106.2</v>
      </c>
      <c r="P4" s="2">
        <f>'Cleaned Data'!P4</f>
        <v>108.9</v>
      </c>
      <c r="Q4" s="2">
        <f>'Cleaned Data'!Q4</f>
        <v>106.9</v>
      </c>
      <c r="R4" s="2">
        <f>'Cleaned Data'!R4</f>
        <v>106.6</v>
      </c>
      <c r="S4" s="2">
        <f>'Cleaned Data'!S4</f>
        <v>107.4</v>
      </c>
      <c r="T4" s="2">
        <f>'Cleaned Data'!T4</f>
        <v>106.5</v>
      </c>
      <c r="U4" s="2">
        <f>'Cleaned Data'!U4</f>
        <v>107.3</v>
      </c>
      <c r="V4" s="2">
        <f>'Cleaned Data'!V4</f>
        <v>100.4</v>
      </c>
      <c r="W4" s="2">
        <f>'Cleaned Data'!W4</f>
        <v>106.1</v>
      </c>
      <c r="X4" s="2">
        <f>'Cleaned Data'!X4</f>
        <v>105.6</v>
      </c>
      <c r="Y4" s="2">
        <f>'Cleaned Data'!Y4</f>
        <v>104.9</v>
      </c>
      <c r="Z4" s="2">
        <f>'Cleaned Data'!Z4</f>
        <v>105.1</v>
      </c>
      <c r="AA4" s="2">
        <f>'Cleaned Data'!AA4</f>
        <v>103.7</v>
      </c>
      <c r="AB4" s="2">
        <f>'Cleaned Data'!AB4</f>
        <v>104</v>
      </c>
      <c r="AC4" s="2">
        <f>'Cleaned Data'!AC4</f>
        <v>104.3</v>
      </c>
      <c r="AD4" s="2">
        <f>'Cleaned Data'!AD4</f>
        <v>104.7</v>
      </c>
      <c r="AE4" s="2">
        <f>'Cleaned Data'!AE4</f>
        <v>105.5</v>
      </c>
    </row>
    <row r="5" spans="1:31" x14ac:dyDescent="0.25">
      <c r="A5" s="1">
        <f>'Cleaned Data'!A5</f>
        <v>41365</v>
      </c>
      <c r="B5" s="1" t="str">
        <f>'Cleaned Data'!B5</f>
        <v>Rural+Urban</v>
      </c>
      <c r="C5" s="2">
        <f>'Cleaned Data'!C5</f>
        <v>2013</v>
      </c>
      <c r="D5" s="1" t="str">
        <f>'Cleaned Data'!D5</f>
        <v>April</v>
      </c>
      <c r="E5" s="2">
        <f>'Cleaned Data'!E5</f>
        <v>111.6</v>
      </c>
      <c r="F5" s="2">
        <f>'Cleaned Data'!F5</f>
        <v>110.9</v>
      </c>
      <c r="G5" s="2">
        <f>'Cleaned Data'!G5</f>
        <v>106.6</v>
      </c>
      <c r="H5" s="2">
        <f>'Cleaned Data'!H5</f>
        <v>105.7</v>
      </c>
      <c r="I5" s="2">
        <f>'Cleaned Data'!I5</f>
        <v>104.4</v>
      </c>
      <c r="J5" s="2">
        <f>'Cleaned Data'!J5</f>
        <v>108.9</v>
      </c>
      <c r="K5" s="2">
        <f>'Cleaned Data'!K5</f>
        <v>105.5</v>
      </c>
      <c r="L5" s="2">
        <f>'Cleaned Data'!L5</f>
        <v>105.3</v>
      </c>
      <c r="M5" s="2">
        <f>'Cleaned Data'!M5</f>
        <v>103.5</v>
      </c>
      <c r="N5" s="2">
        <f>'Cleaned Data'!N5</f>
        <v>103.3</v>
      </c>
      <c r="O5" s="2">
        <f>'Cleaned Data'!O5</f>
        <v>107.2</v>
      </c>
      <c r="P5" s="2">
        <f>'Cleaned Data'!P5</f>
        <v>109.6</v>
      </c>
      <c r="Q5" s="2">
        <f>'Cleaned Data'!Q5</f>
        <v>107.7</v>
      </c>
      <c r="R5" s="2">
        <f>'Cleaned Data'!R5</f>
        <v>107.5</v>
      </c>
      <c r="S5" s="2">
        <f>'Cleaned Data'!S5</f>
        <v>108</v>
      </c>
      <c r="T5" s="2">
        <f>'Cleaned Data'!T5</f>
        <v>107</v>
      </c>
      <c r="U5" s="2">
        <f>'Cleaned Data'!U5</f>
        <v>107.9</v>
      </c>
      <c r="V5" s="2">
        <f>'Cleaned Data'!V5</f>
        <v>100.5</v>
      </c>
      <c r="W5" s="2">
        <f>'Cleaned Data'!W5</f>
        <v>106.5</v>
      </c>
      <c r="X5" s="2">
        <f>'Cleaned Data'!X5</f>
        <v>106.3</v>
      </c>
      <c r="Y5" s="2">
        <f>'Cleaned Data'!Y5</f>
        <v>105.3</v>
      </c>
      <c r="Z5" s="2">
        <f>'Cleaned Data'!Z5</f>
        <v>104.7</v>
      </c>
      <c r="AA5" s="2">
        <f>'Cleaned Data'!AA5</f>
        <v>104.2</v>
      </c>
      <c r="AB5" s="2">
        <f>'Cleaned Data'!AB5</f>
        <v>105</v>
      </c>
      <c r="AC5" s="2">
        <f>'Cleaned Data'!AC5</f>
        <v>102.9</v>
      </c>
      <c r="AD5" s="2">
        <f>'Cleaned Data'!AD5</f>
        <v>104.8</v>
      </c>
      <c r="AE5" s="2">
        <f>'Cleaned Data'!AE5</f>
        <v>106.1</v>
      </c>
    </row>
    <row r="6" spans="1:31" x14ac:dyDescent="0.25">
      <c r="A6" s="1">
        <f>'Cleaned Data'!A6</f>
        <v>41395</v>
      </c>
      <c r="B6" s="1" t="str">
        <f>'Cleaned Data'!B6</f>
        <v>Rural+Urban</v>
      </c>
      <c r="C6" s="2">
        <f>'Cleaned Data'!C6</f>
        <v>2013</v>
      </c>
      <c r="D6" s="1" t="str">
        <f>'Cleaned Data'!D6</f>
        <v>May</v>
      </c>
      <c r="E6" s="2">
        <f>'Cleaned Data'!E6</f>
        <v>112.3</v>
      </c>
      <c r="F6" s="2">
        <f>'Cleaned Data'!F6</f>
        <v>111.3</v>
      </c>
      <c r="G6" s="2">
        <f>'Cleaned Data'!G6</f>
        <v>104.7</v>
      </c>
      <c r="H6" s="2">
        <f>'Cleaned Data'!H6</f>
        <v>106.8</v>
      </c>
      <c r="I6" s="2">
        <f>'Cleaned Data'!I6</f>
        <v>103.9</v>
      </c>
      <c r="J6" s="2">
        <f>'Cleaned Data'!J6</f>
        <v>109.3</v>
      </c>
      <c r="K6" s="2">
        <f>'Cleaned Data'!K6</f>
        <v>112.9</v>
      </c>
      <c r="L6" s="2">
        <f>'Cleaned Data'!L6</f>
        <v>105.8</v>
      </c>
      <c r="M6" s="2">
        <f>'Cleaned Data'!M6</f>
        <v>103.1</v>
      </c>
      <c r="N6" s="2">
        <f>'Cleaned Data'!N6</f>
        <v>104.3</v>
      </c>
      <c r="O6" s="2">
        <f>'Cleaned Data'!O6</f>
        <v>108.1</v>
      </c>
      <c r="P6" s="2">
        <f>'Cleaned Data'!P6</f>
        <v>110.5</v>
      </c>
      <c r="Q6" s="2">
        <f>'Cleaned Data'!Q6</f>
        <v>109.2</v>
      </c>
      <c r="R6" s="2">
        <f>'Cleaned Data'!R6</f>
        <v>108.6</v>
      </c>
      <c r="S6" s="2">
        <f>'Cleaned Data'!S6</f>
        <v>108.7</v>
      </c>
      <c r="T6" s="2">
        <f>'Cleaned Data'!T6</f>
        <v>107.4</v>
      </c>
      <c r="U6" s="2">
        <f>'Cleaned Data'!U6</f>
        <v>108.5</v>
      </c>
      <c r="V6" s="2">
        <f>'Cleaned Data'!V6</f>
        <v>100.5</v>
      </c>
      <c r="W6" s="2">
        <f>'Cleaned Data'!W6</f>
        <v>107.4</v>
      </c>
      <c r="X6" s="2">
        <f>'Cleaned Data'!X6</f>
        <v>106.9</v>
      </c>
      <c r="Y6" s="2">
        <f>'Cleaned Data'!Y6</f>
        <v>105.9</v>
      </c>
      <c r="Z6" s="2">
        <f>'Cleaned Data'!Z6</f>
        <v>104</v>
      </c>
      <c r="AA6" s="2">
        <f>'Cleaned Data'!AA6</f>
        <v>104.8</v>
      </c>
      <c r="AB6" s="2">
        <f>'Cleaned Data'!AB6</f>
        <v>105.6</v>
      </c>
      <c r="AC6" s="2">
        <f>'Cleaned Data'!AC6</f>
        <v>102.3</v>
      </c>
      <c r="AD6" s="2">
        <f>'Cleaned Data'!AD6</f>
        <v>104.8</v>
      </c>
      <c r="AE6" s="2">
        <f>'Cleaned Data'!AE6</f>
        <v>106.9</v>
      </c>
    </row>
    <row r="7" spans="1:31" x14ac:dyDescent="0.25">
      <c r="A7" s="1">
        <f>'Cleaned Data'!A7</f>
        <v>41426</v>
      </c>
      <c r="B7" s="1" t="str">
        <f>'Cleaned Data'!B7</f>
        <v>Rural+Urban</v>
      </c>
      <c r="C7" s="2">
        <f>'Cleaned Data'!C7</f>
        <v>2013</v>
      </c>
      <c r="D7" s="1" t="str">
        <f>'Cleaned Data'!D7</f>
        <v>June</v>
      </c>
      <c r="E7" s="2">
        <f>'Cleaned Data'!E7</f>
        <v>113.8</v>
      </c>
      <c r="F7" s="2">
        <f>'Cleaned Data'!F7</f>
        <v>114.9</v>
      </c>
      <c r="G7" s="2">
        <f>'Cleaned Data'!G7</f>
        <v>109.8</v>
      </c>
      <c r="H7" s="2">
        <f>'Cleaned Data'!H7</f>
        <v>107.9</v>
      </c>
      <c r="I7" s="2">
        <f>'Cleaned Data'!I7</f>
        <v>104.2</v>
      </c>
      <c r="J7" s="2">
        <f>'Cleaned Data'!J7</f>
        <v>110.7</v>
      </c>
      <c r="K7" s="2">
        <f>'Cleaned Data'!K7</f>
        <v>126.7</v>
      </c>
      <c r="L7" s="2">
        <f>'Cleaned Data'!L7</f>
        <v>106.3</v>
      </c>
      <c r="M7" s="2">
        <f>'Cleaned Data'!M7</f>
        <v>103.2</v>
      </c>
      <c r="N7" s="2">
        <f>'Cleaned Data'!N7</f>
        <v>105.7</v>
      </c>
      <c r="O7" s="2">
        <f>'Cleaned Data'!O7</f>
        <v>109</v>
      </c>
      <c r="P7" s="2">
        <f>'Cleaned Data'!P7</f>
        <v>111.6</v>
      </c>
      <c r="Q7" s="2">
        <f>'Cleaned Data'!Q7</f>
        <v>112.2</v>
      </c>
      <c r="R7" s="2">
        <f>'Cleaned Data'!R7</f>
        <v>109.5</v>
      </c>
      <c r="S7" s="2">
        <f>'Cleaned Data'!S7</f>
        <v>109.5</v>
      </c>
      <c r="T7" s="2">
        <f>'Cleaned Data'!T7</f>
        <v>108.1</v>
      </c>
      <c r="U7" s="2">
        <f>'Cleaned Data'!U7</f>
        <v>109.3</v>
      </c>
      <c r="V7" s="2">
        <f>'Cleaned Data'!V7</f>
        <v>106.6</v>
      </c>
      <c r="W7" s="2">
        <f>'Cleaned Data'!W7</f>
        <v>108.3</v>
      </c>
      <c r="X7" s="2">
        <f>'Cleaned Data'!X7</f>
        <v>107.6</v>
      </c>
      <c r="Y7" s="2">
        <f>'Cleaned Data'!Y7</f>
        <v>106.4</v>
      </c>
      <c r="Z7" s="2">
        <f>'Cleaned Data'!Z7</f>
        <v>105.1</v>
      </c>
      <c r="AA7" s="2">
        <f>'Cleaned Data'!AA7</f>
        <v>105.4</v>
      </c>
      <c r="AB7" s="2">
        <f>'Cleaned Data'!AB7</f>
        <v>107.4</v>
      </c>
      <c r="AC7" s="2">
        <f>'Cleaned Data'!AC7</f>
        <v>102.8</v>
      </c>
      <c r="AD7" s="2">
        <f>'Cleaned Data'!AD7</f>
        <v>105.8</v>
      </c>
      <c r="AE7" s="2">
        <f>'Cleaned Data'!AE7</f>
        <v>109.3</v>
      </c>
    </row>
    <row r="8" spans="1:31" x14ac:dyDescent="0.25">
      <c r="A8" s="1">
        <f>'Cleaned Data'!A8</f>
        <v>41456</v>
      </c>
      <c r="B8" s="1" t="str">
        <f>'Cleaned Data'!B8</f>
        <v>Rural+Urban</v>
      </c>
      <c r="C8" s="2">
        <f>'Cleaned Data'!C8</f>
        <v>2013</v>
      </c>
      <c r="D8" s="1" t="str">
        <f>'Cleaned Data'!D8</f>
        <v>July</v>
      </c>
      <c r="E8" s="2">
        <f>'Cleaned Data'!E8</f>
        <v>114.8</v>
      </c>
      <c r="F8" s="2">
        <f>'Cleaned Data'!F8</f>
        <v>116.4</v>
      </c>
      <c r="G8" s="2">
        <f>'Cleaned Data'!G8</f>
        <v>111.9</v>
      </c>
      <c r="H8" s="2">
        <f>'Cleaned Data'!H8</f>
        <v>108.9</v>
      </c>
      <c r="I8" s="2">
        <f>'Cleaned Data'!I8</f>
        <v>104.3</v>
      </c>
      <c r="J8" s="2">
        <f>'Cleaned Data'!J8</f>
        <v>111.7</v>
      </c>
      <c r="K8" s="2">
        <f>'Cleaned Data'!K8</f>
        <v>140</v>
      </c>
      <c r="L8" s="2">
        <f>'Cleaned Data'!L8</f>
        <v>106.4</v>
      </c>
      <c r="M8" s="2">
        <f>'Cleaned Data'!M8</f>
        <v>103.3</v>
      </c>
      <c r="N8" s="2">
        <f>'Cleaned Data'!N8</f>
        <v>106.8</v>
      </c>
      <c r="O8" s="2">
        <f>'Cleaned Data'!O8</f>
        <v>109.6</v>
      </c>
      <c r="P8" s="2">
        <f>'Cleaned Data'!P8</f>
        <v>112.6</v>
      </c>
      <c r="Q8" s="2">
        <f>'Cleaned Data'!Q8</f>
        <v>114.7</v>
      </c>
      <c r="R8" s="2">
        <f>'Cleaned Data'!R8</f>
        <v>110.3</v>
      </c>
      <c r="S8" s="2">
        <f>'Cleaned Data'!S8</f>
        <v>110.2</v>
      </c>
      <c r="T8" s="2">
        <f>'Cleaned Data'!T8</f>
        <v>108.8</v>
      </c>
      <c r="U8" s="2">
        <f>'Cleaned Data'!U8</f>
        <v>110</v>
      </c>
      <c r="V8" s="2">
        <f>'Cleaned Data'!V8</f>
        <v>107.7</v>
      </c>
      <c r="W8" s="2">
        <f>'Cleaned Data'!W8</f>
        <v>109.2</v>
      </c>
      <c r="X8" s="2">
        <f>'Cleaned Data'!X8</f>
        <v>108.2</v>
      </c>
      <c r="Y8" s="2">
        <f>'Cleaned Data'!Y8</f>
        <v>107</v>
      </c>
      <c r="Z8" s="2">
        <f>'Cleaned Data'!Z8</f>
        <v>107.1</v>
      </c>
      <c r="AA8" s="2">
        <f>'Cleaned Data'!AA8</f>
        <v>106.1</v>
      </c>
      <c r="AB8" s="2">
        <f>'Cleaned Data'!AB8</f>
        <v>109.1</v>
      </c>
      <c r="AC8" s="2">
        <f>'Cleaned Data'!AC8</f>
        <v>102.8</v>
      </c>
      <c r="AD8" s="2">
        <f>'Cleaned Data'!AD8</f>
        <v>106.9</v>
      </c>
      <c r="AE8" s="2">
        <f>'Cleaned Data'!AE8</f>
        <v>111</v>
      </c>
    </row>
    <row r="9" spans="1:31" x14ac:dyDescent="0.25">
      <c r="A9" s="1">
        <f>'Cleaned Data'!A9</f>
        <v>41487</v>
      </c>
      <c r="B9" s="1" t="str">
        <f>'Cleaned Data'!B9</f>
        <v>Rural+Urban</v>
      </c>
      <c r="C9" s="2">
        <f>'Cleaned Data'!C9</f>
        <v>2013</v>
      </c>
      <c r="D9" s="1" t="str">
        <f>'Cleaned Data'!D9</f>
        <v>August</v>
      </c>
      <c r="E9" s="2">
        <f>'Cleaned Data'!E9</f>
        <v>115.6</v>
      </c>
      <c r="F9" s="2">
        <f>'Cleaned Data'!F9</f>
        <v>117.2</v>
      </c>
      <c r="G9" s="2">
        <f>'Cleaned Data'!G9</f>
        <v>111.7</v>
      </c>
      <c r="H9" s="2">
        <f>'Cleaned Data'!H9</f>
        <v>109.6</v>
      </c>
      <c r="I9" s="2">
        <f>'Cleaned Data'!I9</f>
        <v>104.5</v>
      </c>
      <c r="J9" s="2">
        <f>'Cleaned Data'!J9</f>
        <v>109.8</v>
      </c>
      <c r="K9" s="2">
        <f>'Cleaned Data'!K9</f>
        <v>151.80000000000001</v>
      </c>
      <c r="L9" s="2">
        <f>'Cleaned Data'!L9</f>
        <v>106.5</v>
      </c>
      <c r="M9" s="2">
        <f>'Cleaned Data'!M9</f>
        <v>103.1</v>
      </c>
      <c r="N9" s="2">
        <f>'Cleaned Data'!N9</f>
        <v>107.4</v>
      </c>
      <c r="O9" s="2">
        <f>'Cleaned Data'!O9</f>
        <v>110.2</v>
      </c>
      <c r="P9" s="2">
        <f>'Cleaned Data'!P9</f>
        <v>113.4</v>
      </c>
      <c r="Q9" s="2">
        <f>'Cleaned Data'!Q9</f>
        <v>116.6</v>
      </c>
      <c r="R9" s="2">
        <f>'Cleaned Data'!R9</f>
        <v>111.2</v>
      </c>
      <c r="S9" s="2">
        <f>'Cleaned Data'!S9</f>
        <v>111</v>
      </c>
      <c r="T9" s="2">
        <f>'Cleaned Data'!T9</f>
        <v>109.4</v>
      </c>
      <c r="U9" s="2">
        <f>'Cleaned Data'!U9</f>
        <v>110.7</v>
      </c>
      <c r="V9" s="2">
        <f>'Cleaned Data'!V9</f>
        <v>108.9</v>
      </c>
      <c r="W9" s="2">
        <f>'Cleaned Data'!W9</f>
        <v>109.7</v>
      </c>
      <c r="X9" s="2">
        <f>'Cleaned Data'!X9</f>
        <v>108.7</v>
      </c>
      <c r="Y9" s="2">
        <f>'Cleaned Data'!Y9</f>
        <v>107.5</v>
      </c>
      <c r="Z9" s="2">
        <f>'Cleaned Data'!Z9</f>
        <v>108</v>
      </c>
      <c r="AA9" s="2">
        <f>'Cleaned Data'!AA9</f>
        <v>106.6</v>
      </c>
      <c r="AB9" s="2">
        <f>'Cleaned Data'!AB9</f>
        <v>109.9</v>
      </c>
      <c r="AC9" s="2">
        <f>'Cleaned Data'!AC9</f>
        <v>105.4</v>
      </c>
      <c r="AD9" s="2">
        <f>'Cleaned Data'!AD9</f>
        <v>107.9</v>
      </c>
      <c r="AE9" s="2">
        <f>'Cleaned Data'!AE9</f>
        <v>112.4</v>
      </c>
    </row>
    <row r="10" spans="1:31" x14ac:dyDescent="0.25">
      <c r="A10" s="1">
        <f>'Cleaned Data'!A10</f>
        <v>41518</v>
      </c>
      <c r="B10" s="1" t="str">
        <f>'Cleaned Data'!B10</f>
        <v>Rural+Urban</v>
      </c>
      <c r="C10" s="2">
        <f>'Cleaned Data'!C10</f>
        <v>2013</v>
      </c>
      <c r="D10" s="1" t="str">
        <f>'Cleaned Data'!D10</f>
        <v>September</v>
      </c>
      <c r="E10" s="2">
        <f>'Cleaned Data'!E10</f>
        <v>116.4</v>
      </c>
      <c r="F10" s="2">
        <f>'Cleaned Data'!F10</f>
        <v>116.9</v>
      </c>
      <c r="G10" s="2">
        <f>'Cleaned Data'!G10</f>
        <v>112.3</v>
      </c>
      <c r="H10" s="2">
        <f>'Cleaned Data'!H10</f>
        <v>110.5</v>
      </c>
      <c r="I10" s="2">
        <f>'Cleaned Data'!I10</f>
        <v>105.3</v>
      </c>
      <c r="J10" s="2">
        <f>'Cleaned Data'!J10</f>
        <v>107.3</v>
      </c>
      <c r="K10" s="2">
        <f>'Cleaned Data'!K10</f>
        <v>160.9</v>
      </c>
      <c r="L10" s="2">
        <f>'Cleaned Data'!L10</f>
        <v>107.1</v>
      </c>
      <c r="M10" s="2">
        <f>'Cleaned Data'!M10</f>
        <v>103.1</v>
      </c>
      <c r="N10" s="2">
        <f>'Cleaned Data'!N10</f>
        <v>108.3</v>
      </c>
      <c r="O10" s="2">
        <f>'Cleaned Data'!O10</f>
        <v>110.7</v>
      </c>
      <c r="P10" s="2">
        <f>'Cleaned Data'!P10</f>
        <v>114.6</v>
      </c>
      <c r="Q10" s="2">
        <f>'Cleaned Data'!Q10</f>
        <v>118.3</v>
      </c>
      <c r="R10" s="2">
        <f>'Cleaned Data'!R10</f>
        <v>112</v>
      </c>
      <c r="S10" s="2">
        <f>'Cleaned Data'!S10</f>
        <v>112.2</v>
      </c>
      <c r="T10" s="2">
        <f>'Cleaned Data'!T10</f>
        <v>110.4</v>
      </c>
      <c r="U10" s="2">
        <f>'Cleaned Data'!U10</f>
        <v>111.9</v>
      </c>
      <c r="V10" s="2">
        <f>'Cleaned Data'!V10</f>
        <v>109.7</v>
      </c>
      <c r="W10" s="2">
        <f>'Cleaned Data'!W10</f>
        <v>110.5</v>
      </c>
      <c r="X10" s="2">
        <f>'Cleaned Data'!X10</f>
        <v>109.6</v>
      </c>
      <c r="Y10" s="2">
        <f>'Cleaned Data'!Y10</f>
        <v>108.1</v>
      </c>
      <c r="Z10" s="2">
        <f>'Cleaned Data'!Z10</f>
        <v>109.9</v>
      </c>
      <c r="AA10" s="2">
        <f>'Cleaned Data'!AA10</f>
        <v>107.5</v>
      </c>
      <c r="AB10" s="2">
        <f>'Cleaned Data'!AB10</f>
        <v>110.6</v>
      </c>
      <c r="AC10" s="2">
        <f>'Cleaned Data'!AC10</f>
        <v>106.8</v>
      </c>
      <c r="AD10" s="2">
        <f>'Cleaned Data'!AD10</f>
        <v>109</v>
      </c>
      <c r="AE10" s="2">
        <f>'Cleaned Data'!AE10</f>
        <v>113.7</v>
      </c>
    </row>
    <row r="11" spans="1:31" x14ac:dyDescent="0.25">
      <c r="A11" s="1">
        <f>'Cleaned Data'!A11</f>
        <v>41548</v>
      </c>
      <c r="B11" s="1" t="str">
        <f>'Cleaned Data'!B11</f>
        <v>Rural+Urban</v>
      </c>
      <c r="C11" s="2">
        <f>'Cleaned Data'!C11</f>
        <v>2013</v>
      </c>
      <c r="D11" s="1" t="str">
        <f>'Cleaned Data'!D11</f>
        <v>October</v>
      </c>
      <c r="E11" s="2">
        <f>'Cleaned Data'!E11</f>
        <v>117.1</v>
      </c>
      <c r="F11" s="2">
        <f>'Cleaned Data'!F11</f>
        <v>116.3</v>
      </c>
      <c r="G11" s="2">
        <f>'Cleaned Data'!G11</f>
        <v>113.3</v>
      </c>
      <c r="H11" s="2">
        <f>'Cleaned Data'!H11</f>
        <v>111.2</v>
      </c>
      <c r="I11" s="2">
        <f>'Cleaned Data'!I11</f>
        <v>105.7</v>
      </c>
      <c r="J11" s="2">
        <f>'Cleaned Data'!J11</f>
        <v>109.9</v>
      </c>
      <c r="K11" s="2">
        <f>'Cleaned Data'!K11</f>
        <v>171.2</v>
      </c>
      <c r="L11" s="2">
        <f>'Cleaned Data'!L11</f>
        <v>107.3</v>
      </c>
      <c r="M11" s="2">
        <f>'Cleaned Data'!M11</f>
        <v>102.7</v>
      </c>
      <c r="N11" s="2">
        <f>'Cleaned Data'!N11</f>
        <v>108.7</v>
      </c>
      <c r="O11" s="2">
        <f>'Cleaned Data'!O11</f>
        <v>111.2</v>
      </c>
      <c r="P11" s="2">
        <f>'Cleaned Data'!P11</f>
        <v>115.4</v>
      </c>
      <c r="Q11" s="2">
        <f>'Cleaned Data'!Q11</f>
        <v>120.2</v>
      </c>
      <c r="R11" s="2">
        <f>'Cleaned Data'!R11</f>
        <v>112.5</v>
      </c>
      <c r="S11" s="2">
        <f>'Cleaned Data'!S11</f>
        <v>113.2</v>
      </c>
      <c r="T11" s="2">
        <f>'Cleaned Data'!T11</f>
        <v>111.2</v>
      </c>
      <c r="U11" s="2">
        <f>'Cleaned Data'!U11</f>
        <v>112.8</v>
      </c>
      <c r="V11" s="2">
        <f>'Cleaned Data'!V11</f>
        <v>110.5</v>
      </c>
      <c r="W11" s="2">
        <f>'Cleaned Data'!W11</f>
        <v>110.9</v>
      </c>
      <c r="X11" s="2">
        <f>'Cleaned Data'!X11</f>
        <v>110.3</v>
      </c>
      <c r="Y11" s="2">
        <f>'Cleaned Data'!Y11</f>
        <v>108.6</v>
      </c>
      <c r="Z11" s="2">
        <f>'Cleaned Data'!Z11</f>
        <v>109.5</v>
      </c>
      <c r="AA11" s="2">
        <f>'Cleaned Data'!AA11</f>
        <v>108.1</v>
      </c>
      <c r="AB11" s="2">
        <f>'Cleaned Data'!AB11</f>
        <v>110.8</v>
      </c>
      <c r="AC11" s="2">
        <f>'Cleaned Data'!AC11</f>
        <v>107.4</v>
      </c>
      <c r="AD11" s="2">
        <f>'Cleaned Data'!AD11</f>
        <v>109.2</v>
      </c>
      <c r="AE11" s="2">
        <f>'Cleaned Data'!AE11</f>
        <v>114.8</v>
      </c>
    </row>
    <row r="12" spans="1:31" x14ac:dyDescent="0.25">
      <c r="A12" s="1">
        <f>'Cleaned Data'!A12</f>
        <v>41579</v>
      </c>
      <c r="B12" s="1" t="str">
        <f>'Cleaned Data'!B12</f>
        <v>Rural+Urban</v>
      </c>
      <c r="C12" s="2">
        <f>'Cleaned Data'!C12</f>
        <v>2013</v>
      </c>
      <c r="D12" s="1" t="str">
        <f>'Cleaned Data'!D12</f>
        <v>November</v>
      </c>
      <c r="E12" s="2">
        <f>'Cleaned Data'!E12</f>
        <v>118.1</v>
      </c>
      <c r="F12" s="2">
        <f>'Cleaned Data'!F12</f>
        <v>115.4</v>
      </c>
      <c r="G12" s="2">
        <f>'Cleaned Data'!G12</f>
        <v>118.7</v>
      </c>
      <c r="H12" s="2">
        <f>'Cleaned Data'!H12</f>
        <v>112.5</v>
      </c>
      <c r="I12" s="2">
        <f>'Cleaned Data'!I12</f>
        <v>106.8</v>
      </c>
      <c r="J12" s="2">
        <f>'Cleaned Data'!J12</f>
        <v>113.5</v>
      </c>
      <c r="K12" s="2">
        <f>'Cleaned Data'!K12</f>
        <v>183.1</v>
      </c>
      <c r="L12" s="2">
        <f>'Cleaned Data'!L12</f>
        <v>108.2</v>
      </c>
      <c r="M12" s="2">
        <f>'Cleaned Data'!M12</f>
        <v>102.2</v>
      </c>
      <c r="N12" s="2">
        <f>'Cleaned Data'!N12</f>
        <v>109.4</v>
      </c>
      <c r="O12" s="2">
        <f>'Cleaned Data'!O12</f>
        <v>111.8</v>
      </c>
      <c r="P12" s="2">
        <f>'Cleaned Data'!P12</f>
        <v>116.5</v>
      </c>
      <c r="Q12" s="2">
        <f>'Cleaned Data'!Q12</f>
        <v>122.6</v>
      </c>
      <c r="R12" s="2">
        <f>'Cleaned Data'!R12</f>
        <v>113.1</v>
      </c>
      <c r="S12" s="2">
        <f>'Cleaned Data'!S12</f>
        <v>114.2</v>
      </c>
      <c r="T12" s="2">
        <f>'Cleaned Data'!T12</f>
        <v>111.9</v>
      </c>
      <c r="U12" s="2">
        <f>'Cleaned Data'!U12</f>
        <v>113.8</v>
      </c>
      <c r="V12" s="2">
        <f>'Cleaned Data'!V12</f>
        <v>111.1</v>
      </c>
      <c r="W12" s="2">
        <f>'Cleaned Data'!W12</f>
        <v>111.6</v>
      </c>
      <c r="X12" s="2">
        <f>'Cleaned Data'!X12</f>
        <v>111.1</v>
      </c>
      <c r="Y12" s="2">
        <f>'Cleaned Data'!Y12</f>
        <v>109.3</v>
      </c>
      <c r="Z12" s="2">
        <f>'Cleaned Data'!Z12</f>
        <v>109.5</v>
      </c>
      <c r="AA12" s="2">
        <f>'Cleaned Data'!AA12</f>
        <v>108.6</v>
      </c>
      <c r="AB12" s="2">
        <f>'Cleaned Data'!AB12</f>
        <v>111.2</v>
      </c>
      <c r="AC12" s="2">
        <f>'Cleaned Data'!AC12</f>
        <v>108.1</v>
      </c>
      <c r="AD12" s="2">
        <f>'Cleaned Data'!AD12</f>
        <v>109.7</v>
      </c>
      <c r="AE12" s="2">
        <f>'Cleaned Data'!AE12</f>
        <v>116.3</v>
      </c>
    </row>
    <row r="13" spans="1:31" x14ac:dyDescent="0.25">
      <c r="A13" s="1">
        <f>'Cleaned Data'!A13</f>
        <v>41609</v>
      </c>
      <c r="B13" s="1" t="str">
        <f>'Cleaned Data'!B13</f>
        <v>Rural+Urban</v>
      </c>
      <c r="C13" s="2">
        <f>'Cleaned Data'!C13</f>
        <v>2013</v>
      </c>
      <c r="D13" s="1" t="str">
        <f>'Cleaned Data'!D13</f>
        <v>December</v>
      </c>
      <c r="E13" s="2">
        <f>'Cleaned Data'!E13</f>
        <v>119.1</v>
      </c>
      <c r="F13" s="2">
        <f>'Cleaned Data'!F13</f>
        <v>116.7</v>
      </c>
      <c r="G13" s="2">
        <f>'Cleaned Data'!G13</f>
        <v>123.5</v>
      </c>
      <c r="H13" s="2">
        <f>'Cleaned Data'!H13</f>
        <v>113.4</v>
      </c>
      <c r="I13" s="2">
        <f>'Cleaned Data'!I13</f>
        <v>107.3</v>
      </c>
      <c r="J13" s="2">
        <f>'Cleaned Data'!J13</f>
        <v>113.3</v>
      </c>
      <c r="K13" s="2">
        <f>'Cleaned Data'!K13</f>
        <v>145.4</v>
      </c>
      <c r="L13" s="2">
        <f>'Cleaned Data'!L13</f>
        <v>108.7</v>
      </c>
      <c r="M13" s="2">
        <f>'Cleaned Data'!M13</f>
        <v>101.5</v>
      </c>
      <c r="N13" s="2">
        <f>'Cleaned Data'!N13</f>
        <v>110.5</v>
      </c>
      <c r="O13" s="2">
        <f>'Cleaned Data'!O13</f>
        <v>112.1</v>
      </c>
      <c r="P13" s="2">
        <f>'Cleaned Data'!P13</f>
        <v>117.4</v>
      </c>
      <c r="Q13" s="2">
        <f>'Cleaned Data'!Q13</f>
        <v>118.4</v>
      </c>
      <c r="R13" s="2">
        <f>'Cleaned Data'!R13</f>
        <v>114</v>
      </c>
      <c r="S13" s="2">
        <f>'Cleaned Data'!S13</f>
        <v>115.2</v>
      </c>
      <c r="T13" s="2">
        <f>'Cleaned Data'!T13</f>
        <v>112.7</v>
      </c>
      <c r="U13" s="2">
        <f>'Cleaned Data'!U13</f>
        <v>114.8</v>
      </c>
      <c r="V13" s="2">
        <f>'Cleaned Data'!V13</f>
        <v>110.7</v>
      </c>
      <c r="W13" s="2">
        <f>'Cleaned Data'!W13</f>
        <v>111.9</v>
      </c>
      <c r="X13" s="2">
        <f>'Cleaned Data'!X13</f>
        <v>111.7</v>
      </c>
      <c r="Y13" s="2">
        <f>'Cleaned Data'!Y13</f>
        <v>109.7</v>
      </c>
      <c r="Z13" s="2">
        <f>'Cleaned Data'!Z13</f>
        <v>109.8</v>
      </c>
      <c r="AA13" s="2">
        <f>'Cleaned Data'!AA13</f>
        <v>109</v>
      </c>
      <c r="AB13" s="2">
        <f>'Cleaned Data'!AB13</f>
        <v>111.5</v>
      </c>
      <c r="AC13" s="2">
        <f>'Cleaned Data'!AC13</f>
        <v>107.9</v>
      </c>
      <c r="AD13" s="2">
        <f>'Cleaned Data'!AD13</f>
        <v>110</v>
      </c>
      <c r="AE13" s="2">
        <f>'Cleaned Data'!AE13</f>
        <v>114.5</v>
      </c>
    </row>
    <row r="14" spans="1:31" x14ac:dyDescent="0.25">
      <c r="A14" s="1">
        <f>'Cleaned Data'!A14</f>
        <v>41640</v>
      </c>
      <c r="B14" s="1" t="str">
        <f>'Cleaned Data'!B14</f>
        <v>Rural+Urban</v>
      </c>
      <c r="C14" s="2">
        <f>'Cleaned Data'!C14</f>
        <v>2014</v>
      </c>
      <c r="D14" s="1" t="str">
        <f>'Cleaned Data'!D14</f>
        <v>January</v>
      </c>
      <c r="E14" s="2">
        <f>'Cleaned Data'!E14</f>
        <v>119.6</v>
      </c>
      <c r="F14" s="2">
        <f>'Cleaned Data'!F14</f>
        <v>118.8</v>
      </c>
      <c r="G14" s="2">
        <f>'Cleaned Data'!G14</f>
        <v>124.1</v>
      </c>
      <c r="H14" s="2">
        <f>'Cleaned Data'!H14</f>
        <v>114.1</v>
      </c>
      <c r="I14" s="2">
        <f>'Cleaned Data'!I14</f>
        <v>106.8</v>
      </c>
      <c r="J14" s="2">
        <f>'Cleaned Data'!J14</f>
        <v>113.9</v>
      </c>
      <c r="K14" s="2">
        <f>'Cleaned Data'!K14</f>
        <v>122.2</v>
      </c>
      <c r="L14" s="2">
        <f>'Cleaned Data'!L14</f>
        <v>108.9</v>
      </c>
      <c r="M14" s="2">
        <f>'Cleaned Data'!M14</f>
        <v>100.2</v>
      </c>
      <c r="N14" s="2">
        <f>'Cleaned Data'!N14</f>
        <v>111</v>
      </c>
      <c r="O14" s="2">
        <f>'Cleaned Data'!O14</f>
        <v>112.3</v>
      </c>
      <c r="P14" s="2">
        <f>'Cleaned Data'!P14</f>
        <v>118.1</v>
      </c>
      <c r="Q14" s="2">
        <f>'Cleaned Data'!Q14</f>
        <v>115.8</v>
      </c>
      <c r="R14" s="2">
        <f>'Cleaned Data'!R14</f>
        <v>114.5</v>
      </c>
      <c r="S14" s="2">
        <f>'Cleaned Data'!S14</f>
        <v>115.8</v>
      </c>
      <c r="T14" s="2">
        <f>'Cleaned Data'!T14</f>
        <v>113.2</v>
      </c>
      <c r="U14" s="2">
        <f>'Cleaned Data'!U14</f>
        <v>115.4</v>
      </c>
      <c r="V14" s="2">
        <f>'Cleaned Data'!V14</f>
        <v>111.6</v>
      </c>
      <c r="W14" s="2">
        <f>'Cleaned Data'!W14</f>
        <v>112.2</v>
      </c>
      <c r="X14" s="2">
        <f>'Cleaned Data'!X14</f>
        <v>112.3</v>
      </c>
      <c r="Y14" s="2">
        <f>'Cleaned Data'!Y14</f>
        <v>110.3</v>
      </c>
      <c r="Z14" s="2">
        <f>'Cleaned Data'!Z14</f>
        <v>110.7</v>
      </c>
      <c r="AA14" s="2">
        <f>'Cleaned Data'!AA14</f>
        <v>109.7</v>
      </c>
      <c r="AB14" s="2">
        <f>'Cleaned Data'!AB14</f>
        <v>111.6</v>
      </c>
      <c r="AC14" s="2">
        <f>'Cleaned Data'!AC14</f>
        <v>108.2</v>
      </c>
      <c r="AD14" s="2">
        <f>'Cleaned Data'!AD14</f>
        <v>110.6</v>
      </c>
      <c r="AE14" s="2">
        <f>'Cleaned Data'!AE14</f>
        <v>113.6</v>
      </c>
    </row>
    <row r="15" spans="1:31" x14ac:dyDescent="0.25">
      <c r="A15" s="1">
        <f>'Cleaned Data'!A15</f>
        <v>41671</v>
      </c>
      <c r="B15" s="1" t="str">
        <f>'Cleaned Data'!B15</f>
        <v>Rural+Urban</v>
      </c>
      <c r="C15" s="2">
        <f>'Cleaned Data'!C15</f>
        <v>2014</v>
      </c>
      <c r="D15" s="1" t="str">
        <f>'Cleaned Data'!D15</f>
        <v>February</v>
      </c>
      <c r="E15" s="2">
        <f>'Cleaned Data'!E15</f>
        <v>120.2</v>
      </c>
      <c r="F15" s="2">
        <f>'Cleaned Data'!F15</f>
        <v>119.2</v>
      </c>
      <c r="G15" s="2">
        <f>'Cleaned Data'!G15</f>
        <v>122.5</v>
      </c>
      <c r="H15" s="2">
        <f>'Cleaned Data'!H15</f>
        <v>115.1</v>
      </c>
      <c r="I15" s="2">
        <f>'Cleaned Data'!I15</f>
        <v>106.6</v>
      </c>
      <c r="J15" s="2">
        <f>'Cleaned Data'!J15</f>
        <v>115.4</v>
      </c>
      <c r="K15" s="2">
        <f>'Cleaned Data'!K15</f>
        <v>114.5</v>
      </c>
      <c r="L15" s="2">
        <f>'Cleaned Data'!L15</f>
        <v>109.3</v>
      </c>
      <c r="M15" s="2">
        <f>'Cleaned Data'!M15</f>
        <v>99.2</v>
      </c>
      <c r="N15" s="2">
        <f>'Cleaned Data'!N15</f>
        <v>111.4</v>
      </c>
      <c r="O15" s="2">
        <f>'Cleaned Data'!O15</f>
        <v>112.6</v>
      </c>
      <c r="P15" s="2">
        <f>'Cleaned Data'!P15</f>
        <v>118.8</v>
      </c>
      <c r="Q15" s="2">
        <f>'Cleaned Data'!Q15</f>
        <v>115.3</v>
      </c>
      <c r="R15" s="2">
        <f>'Cleaned Data'!R15</f>
        <v>114.7</v>
      </c>
      <c r="S15" s="2">
        <f>'Cleaned Data'!S15</f>
        <v>116.4</v>
      </c>
      <c r="T15" s="2">
        <f>'Cleaned Data'!T15</f>
        <v>113.3</v>
      </c>
      <c r="U15" s="2">
        <f>'Cleaned Data'!U15</f>
        <v>115.9</v>
      </c>
      <c r="V15" s="2">
        <f>'Cleaned Data'!V15</f>
        <v>112.5</v>
      </c>
      <c r="W15" s="2">
        <f>'Cleaned Data'!W15</f>
        <v>112.4</v>
      </c>
      <c r="X15" s="2">
        <f>'Cleaned Data'!X15</f>
        <v>112.8</v>
      </c>
      <c r="Y15" s="2">
        <f>'Cleaned Data'!Y15</f>
        <v>110.7</v>
      </c>
      <c r="Z15" s="2">
        <f>'Cleaned Data'!Z15</f>
        <v>111.1</v>
      </c>
      <c r="AA15" s="2">
        <f>'Cleaned Data'!AA15</f>
        <v>110.1</v>
      </c>
      <c r="AB15" s="2">
        <f>'Cleaned Data'!AB15</f>
        <v>111.8</v>
      </c>
      <c r="AC15" s="2">
        <f>'Cleaned Data'!AC15</f>
        <v>108.7</v>
      </c>
      <c r="AD15" s="2">
        <f>'Cleaned Data'!AD15</f>
        <v>110.9</v>
      </c>
      <c r="AE15" s="2">
        <f>'Cleaned Data'!AE15</f>
        <v>113.6</v>
      </c>
    </row>
    <row r="16" spans="1:31" x14ac:dyDescent="0.25">
      <c r="A16" s="1">
        <f>'Cleaned Data'!A16</f>
        <v>41699</v>
      </c>
      <c r="B16" s="1" t="str">
        <f>'Cleaned Data'!B16</f>
        <v>Rural+Urban</v>
      </c>
      <c r="C16" s="2">
        <f>'Cleaned Data'!C16</f>
        <v>2014</v>
      </c>
      <c r="D16" s="1" t="str">
        <f>'Cleaned Data'!D16</f>
        <v>March</v>
      </c>
      <c r="E16" s="2">
        <f>'Cleaned Data'!E16</f>
        <v>120.7</v>
      </c>
      <c r="F16" s="2">
        <f>'Cleaned Data'!F16</f>
        <v>119.3</v>
      </c>
      <c r="G16" s="2">
        <f>'Cleaned Data'!G16</f>
        <v>121</v>
      </c>
      <c r="H16" s="2">
        <f>'Cleaned Data'!H16</f>
        <v>116.1</v>
      </c>
      <c r="I16" s="2">
        <f>'Cleaned Data'!I16</f>
        <v>106.9</v>
      </c>
      <c r="J16" s="2">
        <f>'Cleaned Data'!J16</f>
        <v>118.7</v>
      </c>
      <c r="K16" s="2">
        <f>'Cleaned Data'!K16</f>
        <v>116.3</v>
      </c>
      <c r="L16" s="2">
        <f>'Cleaned Data'!L16</f>
        <v>109.8</v>
      </c>
      <c r="M16" s="2">
        <f>'Cleaned Data'!M16</f>
        <v>99.6</v>
      </c>
      <c r="N16" s="2">
        <f>'Cleaned Data'!N16</f>
        <v>111.8</v>
      </c>
      <c r="O16" s="2">
        <f>'Cleaned Data'!O16</f>
        <v>112.7</v>
      </c>
      <c r="P16" s="2">
        <f>'Cleaned Data'!P16</f>
        <v>119.3</v>
      </c>
      <c r="Q16" s="2">
        <f>'Cleaned Data'!Q16</f>
        <v>116.1</v>
      </c>
      <c r="R16" s="2">
        <f>'Cleaned Data'!R16</f>
        <v>115.2</v>
      </c>
      <c r="S16" s="2">
        <f>'Cleaned Data'!S16</f>
        <v>116.8</v>
      </c>
      <c r="T16" s="2">
        <f>'Cleaned Data'!T16</f>
        <v>113.7</v>
      </c>
      <c r="U16" s="2">
        <f>'Cleaned Data'!U16</f>
        <v>116.4</v>
      </c>
      <c r="V16" s="2">
        <f>'Cleaned Data'!V16</f>
        <v>113.2</v>
      </c>
      <c r="W16" s="2">
        <f>'Cleaned Data'!W16</f>
        <v>112.5</v>
      </c>
      <c r="X16" s="2">
        <f>'Cleaned Data'!X16</f>
        <v>113.2</v>
      </c>
      <c r="Y16" s="2">
        <f>'Cleaned Data'!Y16</f>
        <v>111.2</v>
      </c>
      <c r="Z16" s="2">
        <f>'Cleaned Data'!Z16</f>
        <v>111.4</v>
      </c>
      <c r="AA16" s="2">
        <f>'Cleaned Data'!AA16</f>
        <v>110.6</v>
      </c>
      <c r="AB16" s="2">
        <f>'Cleaned Data'!AB16</f>
        <v>112</v>
      </c>
      <c r="AC16" s="2">
        <f>'Cleaned Data'!AC16</f>
        <v>109</v>
      </c>
      <c r="AD16" s="2">
        <f>'Cleaned Data'!AD16</f>
        <v>111.3</v>
      </c>
      <c r="AE16" s="2">
        <f>'Cleaned Data'!AE16</f>
        <v>114.2</v>
      </c>
    </row>
    <row r="17" spans="1:31" x14ac:dyDescent="0.25">
      <c r="A17" s="1">
        <f>'Cleaned Data'!A17</f>
        <v>41730</v>
      </c>
      <c r="B17" s="1" t="str">
        <f>'Cleaned Data'!B17</f>
        <v>Rural+Urban</v>
      </c>
      <c r="C17" s="2">
        <f>'Cleaned Data'!C17</f>
        <v>2014</v>
      </c>
      <c r="D17" s="1" t="str">
        <f>'Cleaned Data'!D17</f>
        <v>April</v>
      </c>
      <c r="E17" s="2">
        <f>'Cleaned Data'!E17</f>
        <v>120.9</v>
      </c>
      <c r="F17" s="2">
        <f>'Cleaned Data'!F17</f>
        <v>119.9</v>
      </c>
      <c r="G17" s="2">
        <f>'Cleaned Data'!G17</f>
        <v>116.2</v>
      </c>
      <c r="H17" s="2">
        <f>'Cleaned Data'!H17</f>
        <v>117</v>
      </c>
      <c r="I17" s="2">
        <f>'Cleaned Data'!I17</f>
        <v>107.3</v>
      </c>
      <c r="J17" s="2">
        <f>'Cleaned Data'!J17</f>
        <v>126.1</v>
      </c>
      <c r="K17" s="2">
        <f>'Cleaned Data'!K17</f>
        <v>120.7</v>
      </c>
      <c r="L17" s="2">
        <f>'Cleaned Data'!L17</f>
        <v>111</v>
      </c>
      <c r="M17" s="2">
        <f>'Cleaned Data'!M17</f>
        <v>101.8</v>
      </c>
      <c r="N17" s="2">
        <f>'Cleaned Data'!N17</f>
        <v>112.6</v>
      </c>
      <c r="O17" s="2">
        <f>'Cleaned Data'!O17</f>
        <v>113.2</v>
      </c>
      <c r="P17" s="2">
        <f>'Cleaned Data'!P17</f>
        <v>119.8</v>
      </c>
      <c r="Q17" s="2">
        <f>'Cleaned Data'!Q17</f>
        <v>117.6</v>
      </c>
      <c r="R17" s="2">
        <f>'Cleaned Data'!R17</f>
        <v>116</v>
      </c>
      <c r="S17" s="2">
        <f>'Cleaned Data'!S17</f>
        <v>117.4</v>
      </c>
      <c r="T17" s="2">
        <f>'Cleaned Data'!T17</f>
        <v>114.6</v>
      </c>
      <c r="U17" s="2">
        <f>'Cleaned Data'!U17</f>
        <v>117</v>
      </c>
      <c r="V17" s="2">
        <f>'Cleaned Data'!V17</f>
        <v>113.9</v>
      </c>
      <c r="W17" s="2">
        <f>'Cleaned Data'!W17</f>
        <v>112.5</v>
      </c>
      <c r="X17" s="2">
        <f>'Cleaned Data'!X17</f>
        <v>113.6</v>
      </c>
      <c r="Y17" s="2">
        <f>'Cleaned Data'!Y17</f>
        <v>111.5</v>
      </c>
      <c r="Z17" s="2">
        <f>'Cleaned Data'!Z17</f>
        <v>111.2</v>
      </c>
      <c r="AA17" s="2">
        <f>'Cleaned Data'!AA17</f>
        <v>110.9</v>
      </c>
      <c r="AB17" s="2">
        <f>'Cleaned Data'!AB17</f>
        <v>112.7</v>
      </c>
      <c r="AC17" s="2">
        <f>'Cleaned Data'!AC17</f>
        <v>109</v>
      </c>
      <c r="AD17" s="2">
        <f>'Cleaned Data'!AD17</f>
        <v>111.5</v>
      </c>
      <c r="AE17" s="2">
        <f>'Cleaned Data'!AE17</f>
        <v>115.1</v>
      </c>
    </row>
    <row r="18" spans="1:31" x14ac:dyDescent="0.25">
      <c r="A18" s="1">
        <f>'Cleaned Data'!A18</f>
        <v>41760</v>
      </c>
      <c r="B18" s="1" t="str">
        <f>'Cleaned Data'!B18</f>
        <v>Rural+Urban</v>
      </c>
      <c r="C18" s="2">
        <f>'Cleaned Data'!C18</f>
        <v>2014</v>
      </c>
      <c r="D18" s="1" t="str">
        <f>'Cleaned Data'!D18</f>
        <v>May</v>
      </c>
      <c r="E18" s="2">
        <f>'Cleaned Data'!E18</f>
        <v>121.1</v>
      </c>
      <c r="F18" s="2">
        <f>'Cleaned Data'!F18</f>
        <v>121.6</v>
      </c>
      <c r="G18" s="2">
        <f>'Cleaned Data'!G18</f>
        <v>115.9</v>
      </c>
      <c r="H18" s="2">
        <f>'Cleaned Data'!H18</f>
        <v>118.4</v>
      </c>
      <c r="I18" s="2">
        <f>'Cleaned Data'!I18</f>
        <v>107.7</v>
      </c>
      <c r="J18" s="2">
        <f>'Cleaned Data'!J18</f>
        <v>127.7</v>
      </c>
      <c r="K18" s="2">
        <f>'Cleaned Data'!K18</f>
        <v>125</v>
      </c>
      <c r="L18" s="2">
        <f>'Cleaned Data'!L18</f>
        <v>111.9</v>
      </c>
      <c r="M18" s="2">
        <f>'Cleaned Data'!M18</f>
        <v>102.8</v>
      </c>
      <c r="N18" s="2">
        <f>'Cleaned Data'!N18</f>
        <v>113.4</v>
      </c>
      <c r="O18" s="2">
        <f>'Cleaned Data'!O18</f>
        <v>113.7</v>
      </c>
      <c r="P18" s="2">
        <f>'Cleaned Data'!P18</f>
        <v>120.4</v>
      </c>
      <c r="Q18" s="2">
        <f>'Cleaned Data'!Q18</f>
        <v>118.9</v>
      </c>
      <c r="R18" s="2">
        <f>'Cleaned Data'!R18</f>
        <v>116.8</v>
      </c>
      <c r="S18" s="2">
        <f>'Cleaned Data'!S18</f>
        <v>118</v>
      </c>
      <c r="T18" s="2">
        <f>'Cleaned Data'!T18</f>
        <v>115.2</v>
      </c>
      <c r="U18" s="2">
        <f>'Cleaned Data'!U18</f>
        <v>117.6</v>
      </c>
      <c r="V18" s="2">
        <f>'Cleaned Data'!V18</f>
        <v>114.3</v>
      </c>
      <c r="W18" s="2">
        <f>'Cleaned Data'!W18</f>
        <v>112.5</v>
      </c>
      <c r="X18" s="2">
        <f>'Cleaned Data'!X18</f>
        <v>114.1</v>
      </c>
      <c r="Y18" s="2">
        <f>'Cleaned Data'!Y18</f>
        <v>111.8</v>
      </c>
      <c r="Z18" s="2">
        <f>'Cleaned Data'!Z18</f>
        <v>111.3</v>
      </c>
      <c r="AA18" s="2">
        <f>'Cleaned Data'!AA18</f>
        <v>111.2</v>
      </c>
      <c r="AB18" s="2">
        <f>'Cleaned Data'!AB18</f>
        <v>113</v>
      </c>
      <c r="AC18" s="2">
        <f>'Cleaned Data'!AC18</f>
        <v>109.1</v>
      </c>
      <c r="AD18" s="2">
        <f>'Cleaned Data'!AD18</f>
        <v>111.8</v>
      </c>
      <c r="AE18" s="2">
        <f>'Cleaned Data'!AE18</f>
        <v>115.8</v>
      </c>
    </row>
    <row r="19" spans="1:31" x14ac:dyDescent="0.25">
      <c r="A19" s="1">
        <f>'Cleaned Data'!A19</f>
        <v>41791</v>
      </c>
      <c r="B19" s="1" t="str">
        <f>'Cleaned Data'!B19</f>
        <v>Rural+Urban</v>
      </c>
      <c r="C19" s="2">
        <f>'Cleaned Data'!C19</f>
        <v>2014</v>
      </c>
      <c r="D19" s="1" t="str">
        <f>'Cleaned Data'!D19</f>
        <v>June</v>
      </c>
      <c r="E19" s="2">
        <f>'Cleaned Data'!E19</f>
        <v>121.5</v>
      </c>
      <c r="F19" s="2">
        <f>'Cleaned Data'!F19</f>
        <v>123.1</v>
      </c>
      <c r="G19" s="2">
        <f>'Cleaned Data'!G19</f>
        <v>115.8</v>
      </c>
      <c r="H19" s="2">
        <f>'Cleaned Data'!H19</f>
        <v>119.7</v>
      </c>
      <c r="I19" s="2">
        <f>'Cleaned Data'!I19</f>
        <v>107.8</v>
      </c>
      <c r="J19" s="2">
        <f>'Cleaned Data'!J19</f>
        <v>128.30000000000001</v>
      </c>
      <c r="K19" s="2">
        <f>'Cleaned Data'!K19</f>
        <v>132.1</v>
      </c>
      <c r="L19" s="2">
        <f>'Cleaned Data'!L19</f>
        <v>112.4</v>
      </c>
      <c r="M19" s="2">
        <f>'Cleaned Data'!M19</f>
        <v>102.9</v>
      </c>
      <c r="N19" s="2">
        <f>'Cleaned Data'!N19</f>
        <v>114.3</v>
      </c>
      <c r="O19" s="2">
        <f>'Cleaned Data'!O19</f>
        <v>114.2</v>
      </c>
      <c r="P19" s="2">
        <f>'Cleaned Data'!P19</f>
        <v>121.2</v>
      </c>
      <c r="Q19" s="2">
        <f>'Cleaned Data'!Q19</f>
        <v>120.4</v>
      </c>
      <c r="R19" s="2">
        <f>'Cleaned Data'!R19</f>
        <v>117.8</v>
      </c>
      <c r="S19" s="2">
        <f>'Cleaned Data'!S19</f>
        <v>118.8</v>
      </c>
      <c r="T19" s="2">
        <f>'Cleaned Data'!T19</f>
        <v>115.6</v>
      </c>
      <c r="U19" s="2">
        <f>'Cleaned Data'!U19</f>
        <v>118.3</v>
      </c>
      <c r="V19" s="2">
        <f>'Cleaned Data'!V19</f>
        <v>113.9</v>
      </c>
      <c r="W19" s="2">
        <f>'Cleaned Data'!W19</f>
        <v>113.2</v>
      </c>
      <c r="X19" s="2">
        <f>'Cleaned Data'!X19</f>
        <v>114.6</v>
      </c>
      <c r="Y19" s="2">
        <f>'Cleaned Data'!Y19</f>
        <v>112.3</v>
      </c>
      <c r="Z19" s="2">
        <f>'Cleaned Data'!Z19</f>
        <v>111.8</v>
      </c>
      <c r="AA19" s="2">
        <f>'Cleaned Data'!AA19</f>
        <v>111.6</v>
      </c>
      <c r="AB19" s="2">
        <f>'Cleaned Data'!AB19</f>
        <v>114.8</v>
      </c>
      <c r="AC19" s="2">
        <f>'Cleaned Data'!AC19</f>
        <v>108.3</v>
      </c>
      <c r="AD19" s="2">
        <f>'Cleaned Data'!AD19</f>
        <v>112.3</v>
      </c>
      <c r="AE19" s="2">
        <f>'Cleaned Data'!AE19</f>
        <v>116.7</v>
      </c>
    </row>
    <row r="20" spans="1:31" x14ac:dyDescent="0.25">
      <c r="A20" s="1">
        <f>'Cleaned Data'!A20</f>
        <v>41821</v>
      </c>
      <c r="B20" s="1" t="str">
        <f>'Cleaned Data'!B20</f>
        <v>Rural+Urban</v>
      </c>
      <c r="C20" s="2">
        <f>'Cleaned Data'!C20</f>
        <v>2014</v>
      </c>
      <c r="D20" s="1" t="str">
        <f>'Cleaned Data'!D20</f>
        <v>July</v>
      </c>
      <c r="E20" s="2">
        <f>'Cleaned Data'!E20</f>
        <v>122.4</v>
      </c>
      <c r="F20" s="2">
        <f>'Cleaned Data'!F20</f>
        <v>123.9</v>
      </c>
      <c r="G20" s="2">
        <f>'Cleaned Data'!G20</f>
        <v>117.8</v>
      </c>
      <c r="H20" s="2">
        <f>'Cleaned Data'!H20</f>
        <v>121</v>
      </c>
      <c r="I20" s="2">
        <f>'Cleaned Data'!I20</f>
        <v>107.9</v>
      </c>
      <c r="J20" s="2">
        <f>'Cleaned Data'!J20</f>
        <v>131.19999999999999</v>
      </c>
      <c r="K20" s="2">
        <f>'Cleaned Data'!K20</f>
        <v>157.69999999999999</v>
      </c>
      <c r="L20" s="2">
        <f>'Cleaned Data'!L20</f>
        <v>113.2</v>
      </c>
      <c r="M20" s="2">
        <f>'Cleaned Data'!M20</f>
        <v>104.1</v>
      </c>
      <c r="N20" s="2">
        <f>'Cleaned Data'!N20</f>
        <v>115.5</v>
      </c>
      <c r="O20" s="2">
        <f>'Cleaned Data'!O20</f>
        <v>114.8</v>
      </c>
      <c r="P20" s="2">
        <f>'Cleaned Data'!P20</f>
        <v>122.1</v>
      </c>
      <c r="Q20" s="2">
        <f>'Cleaned Data'!Q20</f>
        <v>124.7</v>
      </c>
      <c r="R20" s="2">
        <f>'Cleaned Data'!R20</f>
        <v>118.8</v>
      </c>
      <c r="S20" s="2">
        <f>'Cleaned Data'!S20</f>
        <v>119.6</v>
      </c>
      <c r="T20" s="2">
        <f>'Cleaned Data'!T20</f>
        <v>116.3</v>
      </c>
      <c r="U20" s="2">
        <f>'Cleaned Data'!U20</f>
        <v>119.1</v>
      </c>
      <c r="V20" s="2">
        <f>'Cleaned Data'!V20</f>
        <v>114.8</v>
      </c>
      <c r="W20" s="2">
        <f>'Cleaned Data'!W20</f>
        <v>113.9</v>
      </c>
      <c r="X20" s="2">
        <f>'Cleaned Data'!X20</f>
        <v>115.2</v>
      </c>
      <c r="Y20" s="2">
        <f>'Cleaned Data'!Y20</f>
        <v>112.7</v>
      </c>
      <c r="Z20" s="2">
        <f>'Cleaned Data'!Z20</f>
        <v>113.1</v>
      </c>
      <c r="AA20" s="2">
        <f>'Cleaned Data'!AA20</f>
        <v>112.1</v>
      </c>
      <c r="AB20" s="2">
        <f>'Cleaned Data'!AB20</f>
        <v>116.8</v>
      </c>
      <c r="AC20" s="2">
        <f>'Cleaned Data'!AC20</f>
        <v>109.2</v>
      </c>
      <c r="AD20" s="2">
        <f>'Cleaned Data'!AD20</f>
        <v>113.3</v>
      </c>
      <c r="AE20" s="2">
        <f>'Cleaned Data'!AE20</f>
        <v>119.2</v>
      </c>
    </row>
    <row r="21" spans="1:31" x14ac:dyDescent="0.25">
      <c r="A21" s="1">
        <f>'Cleaned Data'!A21</f>
        <v>41852</v>
      </c>
      <c r="B21" s="1" t="str">
        <f>'Cleaned Data'!B21</f>
        <v>Rural+Urban</v>
      </c>
      <c r="C21" s="2">
        <f>'Cleaned Data'!C21</f>
        <v>2014</v>
      </c>
      <c r="D21" s="1" t="str">
        <f>'Cleaned Data'!D21</f>
        <v>August</v>
      </c>
      <c r="E21" s="2">
        <f>'Cleaned Data'!E21</f>
        <v>122.7</v>
      </c>
      <c r="F21" s="2">
        <f>'Cleaned Data'!F21</f>
        <v>124.4</v>
      </c>
      <c r="G21" s="2">
        <f>'Cleaned Data'!G21</f>
        <v>117.3</v>
      </c>
      <c r="H21" s="2">
        <f>'Cleaned Data'!H21</f>
        <v>122</v>
      </c>
      <c r="I21" s="2">
        <f>'Cleaned Data'!I21</f>
        <v>108</v>
      </c>
      <c r="J21" s="2">
        <f>'Cleaned Data'!J21</f>
        <v>131.1</v>
      </c>
      <c r="K21" s="2">
        <f>'Cleaned Data'!K21</f>
        <v>168.2</v>
      </c>
      <c r="L21" s="2">
        <f>'Cleaned Data'!L21</f>
        <v>114.5</v>
      </c>
      <c r="M21" s="2">
        <f>'Cleaned Data'!M21</f>
        <v>104.3</v>
      </c>
      <c r="N21" s="2">
        <f>'Cleaned Data'!N21</f>
        <v>117.1</v>
      </c>
      <c r="O21" s="2">
        <f>'Cleaned Data'!O21</f>
        <v>115.2</v>
      </c>
      <c r="P21" s="2">
        <f>'Cleaned Data'!P21</f>
        <v>123.1</v>
      </c>
      <c r="Q21" s="2">
        <f>'Cleaned Data'!Q21</f>
        <v>126.6</v>
      </c>
      <c r="R21" s="2">
        <f>'Cleaned Data'!R21</f>
        <v>119.9</v>
      </c>
      <c r="S21" s="2">
        <f>'Cleaned Data'!S21</f>
        <v>120</v>
      </c>
      <c r="T21" s="2">
        <f>'Cleaned Data'!T21</f>
        <v>116.8</v>
      </c>
      <c r="U21" s="2">
        <f>'Cleaned Data'!U21</f>
        <v>119.6</v>
      </c>
      <c r="V21" s="2">
        <f>'Cleaned Data'!V21</f>
        <v>115.5</v>
      </c>
      <c r="W21" s="2">
        <f>'Cleaned Data'!W21</f>
        <v>114</v>
      </c>
      <c r="X21" s="2">
        <f>'Cleaned Data'!X21</f>
        <v>115.6</v>
      </c>
      <c r="Y21" s="2">
        <f>'Cleaned Data'!Y21</f>
        <v>113.3</v>
      </c>
      <c r="Z21" s="2">
        <f>'Cleaned Data'!Z21</f>
        <v>112.8</v>
      </c>
      <c r="AA21" s="2">
        <f>'Cleaned Data'!AA21</f>
        <v>112.6</v>
      </c>
      <c r="AB21" s="2">
        <f>'Cleaned Data'!AB21</f>
        <v>118</v>
      </c>
      <c r="AC21" s="2">
        <f>'Cleaned Data'!AC21</f>
        <v>109.9</v>
      </c>
      <c r="AD21" s="2">
        <f>'Cleaned Data'!AD21</f>
        <v>113.7</v>
      </c>
      <c r="AE21" s="2">
        <f>'Cleaned Data'!AE21</f>
        <v>120.3</v>
      </c>
    </row>
    <row r="22" spans="1:31" x14ac:dyDescent="0.25">
      <c r="A22" s="1">
        <f>'Cleaned Data'!A22</f>
        <v>41883</v>
      </c>
      <c r="B22" s="1" t="str">
        <f>'Cleaned Data'!B22</f>
        <v>Rural+Urban</v>
      </c>
      <c r="C22" s="2">
        <f>'Cleaned Data'!C22</f>
        <v>2014</v>
      </c>
      <c r="D22" s="1" t="str">
        <f>'Cleaned Data'!D22</f>
        <v>September</v>
      </c>
      <c r="E22" s="2">
        <f>'Cleaned Data'!E22</f>
        <v>122.9</v>
      </c>
      <c r="F22" s="2">
        <f>'Cleaned Data'!F22</f>
        <v>123.5</v>
      </c>
      <c r="G22" s="2">
        <f>'Cleaned Data'!G22</f>
        <v>117.3</v>
      </c>
      <c r="H22" s="2">
        <f>'Cleaned Data'!H22</f>
        <v>122.7</v>
      </c>
      <c r="I22" s="2">
        <f>'Cleaned Data'!I22</f>
        <v>107.9</v>
      </c>
      <c r="J22" s="2">
        <f>'Cleaned Data'!J22</f>
        <v>127.3</v>
      </c>
      <c r="K22" s="2">
        <f>'Cleaned Data'!K22</f>
        <v>162.1</v>
      </c>
      <c r="L22" s="2">
        <f>'Cleaned Data'!L22</f>
        <v>115.6</v>
      </c>
      <c r="M22" s="2">
        <f>'Cleaned Data'!M22</f>
        <v>103.8</v>
      </c>
      <c r="N22" s="2">
        <f>'Cleaned Data'!N22</f>
        <v>117.6</v>
      </c>
      <c r="O22" s="2">
        <f>'Cleaned Data'!O22</f>
        <v>115.8</v>
      </c>
      <c r="P22" s="2">
        <f>'Cleaned Data'!P22</f>
        <v>123.8</v>
      </c>
      <c r="Q22" s="2">
        <f>'Cleaned Data'!Q22</f>
        <v>125.8</v>
      </c>
      <c r="R22" s="2">
        <f>'Cleaned Data'!R22</f>
        <v>120.8</v>
      </c>
      <c r="S22" s="2">
        <f>'Cleaned Data'!S22</f>
        <v>120.7</v>
      </c>
      <c r="T22" s="2">
        <f>'Cleaned Data'!T22</f>
        <v>117.2</v>
      </c>
      <c r="U22" s="2">
        <f>'Cleaned Data'!U22</f>
        <v>120.1</v>
      </c>
      <c r="V22" s="2">
        <f>'Cleaned Data'!V22</f>
        <v>116.1</v>
      </c>
      <c r="W22" s="2">
        <f>'Cleaned Data'!W22</f>
        <v>114.3</v>
      </c>
      <c r="X22" s="2">
        <f>'Cleaned Data'!X22</f>
        <v>116.1</v>
      </c>
      <c r="Y22" s="2">
        <f>'Cleaned Data'!Y22</f>
        <v>113.7</v>
      </c>
      <c r="Z22" s="2">
        <f>'Cleaned Data'!Z22</f>
        <v>112</v>
      </c>
      <c r="AA22" s="2">
        <f>'Cleaned Data'!AA22</f>
        <v>113.1</v>
      </c>
      <c r="AB22" s="2">
        <f>'Cleaned Data'!AB22</f>
        <v>118.6</v>
      </c>
      <c r="AC22" s="2">
        <f>'Cleaned Data'!AC22</f>
        <v>109.5</v>
      </c>
      <c r="AD22" s="2">
        <f>'Cleaned Data'!AD22</f>
        <v>113.7</v>
      </c>
      <c r="AE22" s="2">
        <f>'Cleaned Data'!AE22</f>
        <v>120.1</v>
      </c>
    </row>
    <row r="23" spans="1:31" x14ac:dyDescent="0.25">
      <c r="A23" s="1">
        <f>'Cleaned Data'!A23</f>
        <v>41913</v>
      </c>
      <c r="B23" s="1" t="str">
        <f>'Cleaned Data'!B23</f>
        <v>Rural+Urban</v>
      </c>
      <c r="C23" s="2">
        <f>'Cleaned Data'!C23</f>
        <v>2014</v>
      </c>
      <c r="D23" s="1" t="str">
        <f>'Cleaned Data'!D23</f>
        <v>October</v>
      </c>
      <c r="E23" s="2">
        <f>'Cleaned Data'!E23</f>
        <v>123.2</v>
      </c>
      <c r="F23" s="2">
        <f>'Cleaned Data'!F23</f>
        <v>123.8</v>
      </c>
      <c r="G23" s="2">
        <f>'Cleaned Data'!G23</f>
        <v>118.1</v>
      </c>
      <c r="H23" s="2">
        <f>'Cleaned Data'!H23</f>
        <v>123.2</v>
      </c>
      <c r="I23" s="2">
        <f>'Cleaned Data'!I23</f>
        <v>107.9</v>
      </c>
      <c r="J23" s="2">
        <f>'Cleaned Data'!J23</f>
        <v>126.4</v>
      </c>
      <c r="K23" s="2">
        <f>'Cleaned Data'!K23</f>
        <v>156.80000000000001</v>
      </c>
      <c r="L23" s="2">
        <f>'Cleaned Data'!L23</f>
        <v>116.1</v>
      </c>
      <c r="M23" s="2">
        <f>'Cleaned Data'!M23</f>
        <v>103.1</v>
      </c>
      <c r="N23" s="2">
        <f>'Cleaned Data'!N23</f>
        <v>118.1</v>
      </c>
      <c r="O23" s="2">
        <f>'Cleaned Data'!O23</f>
        <v>116.1</v>
      </c>
      <c r="P23" s="2">
        <f>'Cleaned Data'!P23</f>
        <v>124.5</v>
      </c>
      <c r="Q23" s="2">
        <f>'Cleaned Data'!Q23</f>
        <v>125.4</v>
      </c>
      <c r="R23" s="2">
        <f>'Cleaned Data'!R23</f>
        <v>121.1</v>
      </c>
      <c r="S23" s="2">
        <f>'Cleaned Data'!S23</f>
        <v>121.5</v>
      </c>
      <c r="T23" s="2">
        <f>'Cleaned Data'!T23</f>
        <v>118.1</v>
      </c>
      <c r="U23" s="2">
        <f>'Cleaned Data'!U23</f>
        <v>121</v>
      </c>
      <c r="V23" s="2">
        <f>'Cleaned Data'!V23</f>
        <v>116.7</v>
      </c>
      <c r="W23" s="2">
        <f>'Cleaned Data'!W23</f>
        <v>114.7</v>
      </c>
      <c r="X23" s="2">
        <f>'Cleaned Data'!X23</f>
        <v>116.7</v>
      </c>
      <c r="Y23" s="2">
        <f>'Cleaned Data'!Y23</f>
        <v>114.3</v>
      </c>
      <c r="Z23" s="2">
        <f>'Cleaned Data'!Z23</f>
        <v>111.8</v>
      </c>
      <c r="AA23" s="2">
        <f>'Cleaned Data'!AA23</f>
        <v>113.3</v>
      </c>
      <c r="AB23" s="2">
        <f>'Cleaned Data'!AB23</f>
        <v>118.8</v>
      </c>
      <c r="AC23" s="2">
        <f>'Cleaned Data'!AC23</f>
        <v>109.6</v>
      </c>
      <c r="AD23" s="2">
        <f>'Cleaned Data'!AD23</f>
        <v>113.9</v>
      </c>
      <c r="AE23" s="2">
        <f>'Cleaned Data'!AE23</f>
        <v>120.1</v>
      </c>
    </row>
    <row r="24" spans="1:31" x14ac:dyDescent="0.25">
      <c r="A24" s="1">
        <f>'Cleaned Data'!A24</f>
        <v>41944</v>
      </c>
      <c r="B24" s="1" t="str">
        <f>'Cleaned Data'!B24</f>
        <v>Rural+Urban</v>
      </c>
      <c r="C24" s="2">
        <f>'Cleaned Data'!C24</f>
        <v>2014</v>
      </c>
      <c r="D24" s="1" t="str">
        <f>'Cleaned Data'!D24</f>
        <v>November</v>
      </c>
      <c r="E24" s="2">
        <f>'Cleaned Data'!E24</f>
        <v>123.3</v>
      </c>
      <c r="F24" s="2">
        <f>'Cleaned Data'!F24</f>
        <v>123.7</v>
      </c>
      <c r="G24" s="2">
        <f>'Cleaned Data'!G24</f>
        <v>121</v>
      </c>
      <c r="H24" s="2">
        <f>'Cleaned Data'!H24</f>
        <v>124.2</v>
      </c>
      <c r="I24" s="2">
        <f>'Cleaned Data'!I24</f>
        <v>107.8</v>
      </c>
      <c r="J24" s="2">
        <f>'Cleaned Data'!J24</f>
        <v>125.7</v>
      </c>
      <c r="K24" s="2">
        <f>'Cleaned Data'!K24</f>
        <v>152.4</v>
      </c>
      <c r="L24" s="2">
        <f>'Cleaned Data'!L24</f>
        <v>117.2</v>
      </c>
      <c r="M24" s="2">
        <f>'Cleaned Data'!M24</f>
        <v>102.1</v>
      </c>
      <c r="N24" s="2">
        <f>'Cleaned Data'!N24</f>
        <v>118.7</v>
      </c>
      <c r="O24" s="2">
        <f>'Cleaned Data'!O24</f>
        <v>116.4</v>
      </c>
      <c r="P24" s="2">
        <f>'Cleaned Data'!P24</f>
        <v>125.6</v>
      </c>
      <c r="Q24" s="2">
        <f>'Cleaned Data'!Q24</f>
        <v>125.1</v>
      </c>
      <c r="R24" s="2">
        <f>'Cleaned Data'!R24</f>
        <v>122.1</v>
      </c>
      <c r="S24" s="2">
        <f>'Cleaned Data'!S24</f>
        <v>122.1</v>
      </c>
      <c r="T24" s="2">
        <f>'Cleaned Data'!T24</f>
        <v>118.4</v>
      </c>
      <c r="U24" s="2">
        <f>'Cleaned Data'!U24</f>
        <v>121.6</v>
      </c>
      <c r="V24" s="2">
        <f>'Cleaned Data'!V24</f>
        <v>117.1</v>
      </c>
      <c r="W24" s="2">
        <f>'Cleaned Data'!W24</f>
        <v>115.5</v>
      </c>
      <c r="X24" s="2">
        <f>'Cleaned Data'!X24</f>
        <v>117.3</v>
      </c>
      <c r="Y24" s="2">
        <f>'Cleaned Data'!Y24</f>
        <v>114.8</v>
      </c>
      <c r="Z24" s="2">
        <f>'Cleaned Data'!Z24</f>
        <v>110.8</v>
      </c>
      <c r="AA24" s="2">
        <f>'Cleaned Data'!AA24</f>
        <v>113.7</v>
      </c>
      <c r="AB24" s="2">
        <f>'Cleaned Data'!AB24</f>
        <v>119</v>
      </c>
      <c r="AC24" s="2">
        <f>'Cleaned Data'!AC24</f>
        <v>109.1</v>
      </c>
      <c r="AD24" s="2">
        <f>'Cleaned Data'!AD24</f>
        <v>113.8</v>
      </c>
      <c r="AE24" s="2">
        <f>'Cleaned Data'!AE24</f>
        <v>120.1</v>
      </c>
    </row>
    <row r="25" spans="1:31" x14ac:dyDescent="0.25">
      <c r="A25" s="1">
        <f>'Cleaned Data'!A25</f>
        <v>41974</v>
      </c>
      <c r="B25" s="1" t="str">
        <f>'Cleaned Data'!B25</f>
        <v>Rural+Urban</v>
      </c>
      <c r="C25" s="2">
        <f>'Cleaned Data'!C25</f>
        <v>2014</v>
      </c>
      <c r="D25" s="1" t="str">
        <f>'Cleaned Data'!D25</f>
        <v>December</v>
      </c>
      <c r="E25" s="2">
        <f>'Cleaned Data'!E25</f>
        <v>122.9</v>
      </c>
      <c r="F25" s="2">
        <f>'Cleaned Data'!F25</f>
        <v>123.2</v>
      </c>
      <c r="G25" s="2">
        <f>'Cleaned Data'!G25</f>
        <v>123.5</v>
      </c>
      <c r="H25" s="2">
        <f>'Cleaned Data'!H25</f>
        <v>124.5</v>
      </c>
      <c r="I25" s="2">
        <f>'Cleaned Data'!I25</f>
        <v>107.6</v>
      </c>
      <c r="J25" s="2">
        <f>'Cleaned Data'!J25</f>
        <v>125.7</v>
      </c>
      <c r="K25" s="2">
        <f>'Cleaned Data'!K25</f>
        <v>140.5</v>
      </c>
      <c r="L25" s="2">
        <f>'Cleaned Data'!L25</f>
        <v>117.6</v>
      </c>
      <c r="M25" s="2">
        <f>'Cleaned Data'!M25</f>
        <v>100.6</v>
      </c>
      <c r="N25" s="2">
        <f>'Cleaned Data'!N25</f>
        <v>119.1</v>
      </c>
      <c r="O25" s="2">
        <f>'Cleaned Data'!O25</f>
        <v>116.8</v>
      </c>
      <c r="P25" s="2">
        <f>'Cleaned Data'!P25</f>
        <v>126.1</v>
      </c>
      <c r="Q25" s="2">
        <f>'Cleaned Data'!Q25</f>
        <v>123.6</v>
      </c>
      <c r="R25" s="2">
        <f>'Cleaned Data'!R25</f>
        <v>123</v>
      </c>
      <c r="S25" s="2">
        <f>'Cleaned Data'!S25</f>
        <v>122.6</v>
      </c>
      <c r="T25" s="2">
        <f>'Cleaned Data'!T25</f>
        <v>118.6</v>
      </c>
      <c r="U25" s="2">
        <f>'Cleaned Data'!U25</f>
        <v>122</v>
      </c>
      <c r="V25" s="2">
        <f>'Cleaned Data'!V25</f>
        <v>116.5</v>
      </c>
      <c r="W25" s="2">
        <f>'Cleaned Data'!W25</f>
        <v>115.7</v>
      </c>
      <c r="X25" s="2">
        <f>'Cleaned Data'!X25</f>
        <v>117.5</v>
      </c>
      <c r="Y25" s="2">
        <f>'Cleaned Data'!Y25</f>
        <v>115.1</v>
      </c>
      <c r="Z25" s="2">
        <f>'Cleaned Data'!Z25</f>
        <v>110.1</v>
      </c>
      <c r="AA25" s="2">
        <f>'Cleaned Data'!AA25</f>
        <v>113.9</v>
      </c>
      <c r="AB25" s="2">
        <f>'Cleaned Data'!AB25</f>
        <v>119.5</v>
      </c>
      <c r="AC25" s="2">
        <f>'Cleaned Data'!AC25</f>
        <v>109.8</v>
      </c>
      <c r="AD25" s="2">
        <f>'Cleaned Data'!AD25</f>
        <v>113.8</v>
      </c>
      <c r="AE25" s="2">
        <f>'Cleaned Data'!AE25</f>
        <v>119.4</v>
      </c>
    </row>
    <row r="26" spans="1:31" x14ac:dyDescent="0.25">
      <c r="A26" s="1">
        <f>'Cleaned Data'!A26</f>
        <v>42005</v>
      </c>
      <c r="B26" s="1" t="str">
        <f>'Cleaned Data'!B26</f>
        <v>Rural+Urban</v>
      </c>
      <c r="C26" s="2">
        <f>'Cleaned Data'!C26</f>
        <v>2015</v>
      </c>
      <c r="D26" s="1" t="str">
        <f>'Cleaned Data'!D26</f>
        <v>January</v>
      </c>
      <c r="E26" s="2">
        <f>'Cleaned Data'!E26</f>
        <v>123.4</v>
      </c>
      <c r="F26" s="2">
        <f>'Cleaned Data'!F26</f>
        <v>123.9</v>
      </c>
      <c r="G26" s="2">
        <f>'Cleaned Data'!G26</f>
        <v>123.8</v>
      </c>
      <c r="H26" s="2">
        <f>'Cleaned Data'!H26</f>
        <v>125</v>
      </c>
      <c r="I26" s="2">
        <f>'Cleaned Data'!I26</f>
        <v>108.5</v>
      </c>
      <c r="J26" s="2">
        <f>'Cleaned Data'!J26</f>
        <v>126.2</v>
      </c>
      <c r="K26" s="2">
        <f>'Cleaned Data'!K26</f>
        <v>133</v>
      </c>
      <c r="L26" s="2">
        <f>'Cleaned Data'!L26</f>
        <v>119.1</v>
      </c>
      <c r="M26" s="2">
        <f>'Cleaned Data'!M26</f>
        <v>99</v>
      </c>
      <c r="N26" s="2">
        <f>'Cleaned Data'!N26</f>
        <v>120.3</v>
      </c>
      <c r="O26" s="2">
        <f>'Cleaned Data'!O26</f>
        <v>117.3</v>
      </c>
      <c r="P26" s="2">
        <f>'Cleaned Data'!P26</f>
        <v>126.7</v>
      </c>
      <c r="Q26" s="2">
        <f>'Cleaned Data'!Q26</f>
        <v>123.1</v>
      </c>
      <c r="R26" s="2">
        <f>'Cleaned Data'!R26</f>
        <v>124</v>
      </c>
      <c r="S26" s="2">
        <f>'Cleaned Data'!S26</f>
        <v>123.1</v>
      </c>
      <c r="T26" s="2">
        <f>'Cleaned Data'!T26</f>
        <v>119.3</v>
      </c>
      <c r="U26" s="2">
        <f>'Cleaned Data'!U26</f>
        <v>122.5</v>
      </c>
      <c r="V26" s="2">
        <f>'Cleaned Data'!V26</f>
        <v>117.3</v>
      </c>
      <c r="W26" s="2">
        <f>'Cleaned Data'!W26</f>
        <v>116.5</v>
      </c>
      <c r="X26" s="2">
        <f>'Cleaned Data'!X26</f>
        <v>118.1</v>
      </c>
      <c r="Y26" s="2">
        <f>'Cleaned Data'!Y26</f>
        <v>115.5</v>
      </c>
      <c r="Z26" s="2">
        <f>'Cleaned Data'!Z26</f>
        <v>109.4</v>
      </c>
      <c r="AA26" s="2">
        <f>'Cleaned Data'!AA26</f>
        <v>114.3</v>
      </c>
      <c r="AB26" s="2">
        <f>'Cleaned Data'!AB26</f>
        <v>119.7</v>
      </c>
      <c r="AC26" s="2">
        <f>'Cleaned Data'!AC26</f>
        <v>110.7</v>
      </c>
      <c r="AD26" s="2">
        <f>'Cleaned Data'!AD26</f>
        <v>114</v>
      </c>
      <c r="AE26" s="2">
        <f>'Cleaned Data'!AE26</f>
        <v>119.5</v>
      </c>
    </row>
    <row r="27" spans="1:31" x14ac:dyDescent="0.25">
      <c r="A27" s="1">
        <f>'Cleaned Data'!A27</f>
        <v>42036</v>
      </c>
      <c r="B27" s="1" t="str">
        <f>'Cleaned Data'!B27</f>
        <v>Rural+Urban</v>
      </c>
      <c r="C27" s="2">
        <f>'Cleaned Data'!C27</f>
        <v>2015</v>
      </c>
      <c r="D27" s="1" t="str">
        <f>'Cleaned Data'!D27</f>
        <v>February</v>
      </c>
      <c r="E27" s="2">
        <f>'Cleaned Data'!E27</f>
        <v>123.7</v>
      </c>
      <c r="F27" s="2">
        <f>'Cleaned Data'!F27</f>
        <v>125.1</v>
      </c>
      <c r="G27" s="2">
        <f>'Cleaned Data'!G27</f>
        <v>121.1</v>
      </c>
      <c r="H27" s="2">
        <f>'Cleaned Data'!H27</f>
        <v>125.7</v>
      </c>
      <c r="I27" s="2">
        <f>'Cleaned Data'!I27</f>
        <v>109.1</v>
      </c>
      <c r="J27" s="2">
        <f>'Cleaned Data'!J27</f>
        <v>125.8</v>
      </c>
      <c r="K27" s="2">
        <f>'Cleaned Data'!K27</f>
        <v>129.4</v>
      </c>
      <c r="L27" s="2">
        <f>'Cleaned Data'!L27</f>
        <v>120.9</v>
      </c>
      <c r="M27" s="2">
        <f>'Cleaned Data'!M27</f>
        <v>98.3</v>
      </c>
      <c r="N27" s="2">
        <f>'Cleaned Data'!N27</f>
        <v>121.6</v>
      </c>
      <c r="O27" s="2">
        <f>'Cleaned Data'!O27</f>
        <v>118</v>
      </c>
      <c r="P27" s="2">
        <f>'Cleaned Data'!P27</f>
        <v>127.6</v>
      </c>
      <c r="Q27" s="2">
        <f>'Cleaned Data'!Q27</f>
        <v>123.1</v>
      </c>
      <c r="R27" s="2">
        <f>'Cleaned Data'!R27</f>
        <v>125.2</v>
      </c>
      <c r="S27" s="2">
        <f>'Cleaned Data'!S27</f>
        <v>123.8</v>
      </c>
      <c r="T27" s="2">
        <f>'Cleaned Data'!T27</f>
        <v>120.1</v>
      </c>
      <c r="U27" s="2">
        <f>'Cleaned Data'!U27</f>
        <v>123.3</v>
      </c>
      <c r="V27" s="2">
        <f>'Cleaned Data'!V27</f>
        <v>118.1</v>
      </c>
      <c r="W27" s="2">
        <f>'Cleaned Data'!W27</f>
        <v>117.7</v>
      </c>
      <c r="X27" s="2">
        <f>'Cleaned Data'!X27</f>
        <v>118.7</v>
      </c>
      <c r="Y27" s="2">
        <f>'Cleaned Data'!Y27</f>
        <v>116.3</v>
      </c>
      <c r="Z27" s="2">
        <f>'Cleaned Data'!Z27</f>
        <v>108.7</v>
      </c>
      <c r="AA27" s="2">
        <f>'Cleaned Data'!AA27</f>
        <v>114.9</v>
      </c>
      <c r="AB27" s="2">
        <f>'Cleaned Data'!AB27</f>
        <v>119.7</v>
      </c>
      <c r="AC27" s="2">
        <f>'Cleaned Data'!AC27</f>
        <v>111.2</v>
      </c>
      <c r="AD27" s="2">
        <f>'Cleaned Data'!AD27</f>
        <v>114.1</v>
      </c>
      <c r="AE27" s="2">
        <f>'Cleaned Data'!AE27</f>
        <v>119.7</v>
      </c>
    </row>
    <row r="28" spans="1:31" x14ac:dyDescent="0.25">
      <c r="A28" s="1">
        <f>'Cleaned Data'!A28</f>
        <v>42064</v>
      </c>
      <c r="B28" s="1" t="str">
        <f>'Cleaned Data'!B28</f>
        <v>Rural+Urban</v>
      </c>
      <c r="C28" s="2">
        <f>'Cleaned Data'!C28</f>
        <v>2015</v>
      </c>
      <c r="D28" s="1" t="str">
        <f>'Cleaned Data'!D28</f>
        <v>March</v>
      </c>
      <c r="E28" s="2">
        <f>'Cleaned Data'!E28</f>
        <v>123.5</v>
      </c>
      <c r="F28" s="2">
        <f>'Cleaned Data'!F28</f>
        <v>125.4</v>
      </c>
      <c r="G28" s="2">
        <f>'Cleaned Data'!G28</f>
        <v>116.8</v>
      </c>
      <c r="H28" s="2">
        <f>'Cleaned Data'!H28</f>
        <v>126</v>
      </c>
      <c r="I28" s="2">
        <f>'Cleaned Data'!I28</f>
        <v>109.2</v>
      </c>
      <c r="J28" s="2">
        <f>'Cleaned Data'!J28</f>
        <v>127.6</v>
      </c>
      <c r="K28" s="2">
        <f>'Cleaned Data'!K28</f>
        <v>129.19999999999999</v>
      </c>
      <c r="L28" s="2">
        <f>'Cleaned Data'!L28</f>
        <v>122.4</v>
      </c>
      <c r="M28" s="2">
        <f>'Cleaned Data'!M28</f>
        <v>97</v>
      </c>
      <c r="N28" s="2">
        <f>'Cleaned Data'!N28</f>
        <v>122.1</v>
      </c>
      <c r="O28" s="2">
        <f>'Cleaned Data'!O28</f>
        <v>118.1</v>
      </c>
      <c r="P28" s="2">
        <f>'Cleaned Data'!P28</f>
        <v>128.4</v>
      </c>
      <c r="Q28" s="2">
        <f>'Cleaned Data'!Q28</f>
        <v>123.4</v>
      </c>
      <c r="R28" s="2">
        <f>'Cleaned Data'!R28</f>
        <v>125.8</v>
      </c>
      <c r="S28" s="2">
        <f>'Cleaned Data'!S28</f>
        <v>124.3</v>
      </c>
      <c r="T28" s="2">
        <f>'Cleaned Data'!T28</f>
        <v>120.4</v>
      </c>
      <c r="U28" s="2">
        <f>'Cleaned Data'!U28</f>
        <v>123.7</v>
      </c>
      <c r="V28" s="2">
        <f>'Cleaned Data'!V28</f>
        <v>118.6</v>
      </c>
      <c r="W28" s="2">
        <f>'Cleaned Data'!W28</f>
        <v>118.3</v>
      </c>
      <c r="X28" s="2">
        <f>'Cleaned Data'!X28</f>
        <v>119.2</v>
      </c>
      <c r="Y28" s="2">
        <f>'Cleaned Data'!Y28</f>
        <v>116.7</v>
      </c>
      <c r="Z28" s="2">
        <f>'Cleaned Data'!Z28</f>
        <v>109.9</v>
      </c>
      <c r="AA28" s="2">
        <f>'Cleaned Data'!AA28</f>
        <v>115.4</v>
      </c>
      <c r="AB28" s="2">
        <f>'Cleaned Data'!AB28</f>
        <v>120.1</v>
      </c>
      <c r="AC28" s="2">
        <f>'Cleaned Data'!AC28</f>
        <v>111</v>
      </c>
      <c r="AD28" s="2">
        <f>'Cleaned Data'!AD28</f>
        <v>114.7</v>
      </c>
      <c r="AE28" s="2">
        <f>'Cleaned Data'!AE28</f>
        <v>120.2</v>
      </c>
    </row>
    <row r="29" spans="1:31" x14ac:dyDescent="0.25">
      <c r="A29" s="1">
        <f>'Cleaned Data'!A29</f>
        <v>42095</v>
      </c>
      <c r="B29" s="1" t="str">
        <f>'Cleaned Data'!B29</f>
        <v>Rural+Urban</v>
      </c>
      <c r="C29" s="2">
        <f>'Cleaned Data'!C29</f>
        <v>2015</v>
      </c>
      <c r="D29" s="1" t="str">
        <f>'Cleaned Data'!D29</f>
        <v>April</v>
      </c>
      <c r="E29" s="2">
        <f>'Cleaned Data'!E29</f>
        <v>123.5</v>
      </c>
      <c r="F29" s="2">
        <f>'Cleaned Data'!F29</f>
        <v>126.4</v>
      </c>
      <c r="G29" s="2">
        <f>'Cleaned Data'!G29</f>
        <v>114.4</v>
      </c>
      <c r="H29" s="2">
        <f>'Cleaned Data'!H29</f>
        <v>126.6</v>
      </c>
      <c r="I29" s="2">
        <f>'Cleaned Data'!I29</f>
        <v>109.2</v>
      </c>
      <c r="J29" s="2">
        <f>'Cleaned Data'!J29</f>
        <v>132.5</v>
      </c>
      <c r="K29" s="2">
        <f>'Cleaned Data'!K29</f>
        <v>128.6</v>
      </c>
      <c r="L29" s="2">
        <f>'Cleaned Data'!L29</f>
        <v>124.8</v>
      </c>
      <c r="M29" s="2">
        <f>'Cleaned Data'!M29</f>
        <v>95.7</v>
      </c>
      <c r="N29" s="2">
        <f>'Cleaned Data'!N29</f>
        <v>122.4</v>
      </c>
      <c r="O29" s="2">
        <f>'Cleaned Data'!O29</f>
        <v>118.5</v>
      </c>
      <c r="P29" s="2">
        <f>'Cleaned Data'!P29</f>
        <v>129.1</v>
      </c>
      <c r="Q29" s="2">
        <f>'Cleaned Data'!Q29</f>
        <v>124</v>
      </c>
      <c r="R29" s="2">
        <f>'Cleaned Data'!R29</f>
        <v>126.9</v>
      </c>
      <c r="S29" s="2">
        <f>'Cleaned Data'!S29</f>
        <v>124.7</v>
      </c>
      <c r="T29" s="2">
        <f>'Cleaned Data'!T29</f>
        <v>120.8</v>
      </c>
      <c r="U29" s="2">
        <f>'Cleaned Data'!U29</f>
        <v>124.1</v>
      </c>
      <c r="V29" s="2">
        <f>'Cleaned Data'!V29</f>
        <v>119.2</v>
      </c>
      <c r="W29" s="2">
        <f>'Cleaned Data'!W29</f>
        <v>118.7</v>
      </c>
      <c r="X29" s="2">
        <f>'Cleaned Data'!X29</f>
        <v>119.7</v>
      </c>
      <c r="Y29" s="2">
        <f>'Cleaned Data'!Y29</f>
        <v>117.1</v>
      </c>
      <c r="Z29" s="2">
        <f>'Cleaned Data'!Z29</f>
        <v>110.1</v>
      </c>
      <c r="AA29" s="2">
        <f>'Cleaned Data'!AA29</f>
        <v>115.9</v>
      </c>
      <c r="AB29" s="2">
        <f>'Cleaned Data'!AB29</f>
        <v>121</v>
      </c>
      <c r="AC29" s="2">
        <f>'Cleaned Data'!AC29</f>
        <v>111.7</v>
      </c>
      <c r="AD29" s="2">
        <f>'Cleaned Data'!AD29</f>
        <v>115.1</v>
      </c>
      <c r="AE29" s="2">
        <f>'Cleaned Data'!AE29</f>
        <v>120.7</v>
      </c>
    </row>
    <row r="30" spans="1:31" x14ac:dyDescent="0.25">
      <c r="A30" s="1">
        <f>'Cleaned Data'!A30</f>
        <v>42125</v>
      </c>
      <c r="B30" s="1" t="str">
        <f>'Cleaned Data'!B30</f>
        <v>Rural+Urban</v>
      </c>
      <c r="C30" s="2">
        <f>'Cleaned Data'!C30</f>
        <v>2015</v>
      </c>
      <c r="D30" s="1" t="str">
        <f>'Cleaned Data'!D30</f>
        <v>May</v>
      </c>
      <c r="E30" s="2">
        <f>'Cleaned Data'!E30</f>
        <v>123.6</v>
      </c>
      <c r="F30" s="2">
        <f>'Cleaned Data'!F30</f>
        <v>128</v>
      </c>
      <c r="G30" s="2">
        <f>'Cleaned Data'!G30</f>
        <v>115</v>
      </c>
      <c r="H30" s="2">
        <f>'Cleaned Data'!H30</f>
        <v>127.3</v>
      </c>
      <c r="I30" s="2">
        <f>'Cleaned Data'!I30</f>
        <v>109.8</v>
      </c>
      <c r="J30" s="2">
        <f>'Cleaned Data'!J30</f>
        <v>132.6</v>
      </c>
      <c r="K30" s="2">
        <f>'Cleaned Data'!K30</f>
        <v>130.9</v>
      </c>
      <c r="L30" s="2">
        <f>'Cleaned Data'!L30</f>
        <v>130.5</v>
      </c>
      <c r="M30" s="2">
        <f>'Cleaned Data'!M30</f>
        <v>95.3</v>
      </c>
      <c r="N30" s="2">
        <f>'Cleaned Data'!N30</f>
        <v>123.4</v>
      </c>
      <c r="O30" s="2">
        <f>'Cleaned Data'!O30</f>
        <v>119.2</v>
      </c>
      <c r="P30" s="2">
        <f>'Cleaned Data'!P30</f>
        <v>129.80000000000001</v>
      </c>
      <c r="Q30" s="2">
        <f>'Cleaned Data'!Q30</f>
        <v>125</v>
      </c>
      <c r="R30" s="2">
        <f>'Cleaned Data'!R30</f>
        <v>127.9</v>
      </c>
      <c r="S30" s="2">
        <f>'Cleaned Data'!S30</f>
        <v>125.4</v>
      </c>
      <c r="T30" s="2">
        <f>'Cleaned Data'!T30</f>
        <v>121.3</v>
      </c>
      <c r="U30" s="2">
        <f>'Cleaned Data'!U30</f>
        <v>124.7</v>
      </c>
      <c r="V30" s="2">
        <f>'Cleaned Data'!V30</f>
        <v>119.6</v>
      </c>
      <c r="W30" s="2">
        <f>'Cleaned Data'!W30</f>
        <v>119.2</v>
      </c>
      <c r="X30" s="2">
        <f>'Cleaned Data'!X30</f>
        <v>120.2</v>
      </c>
      <c r="Y30" s="2">
        <f>'Cleaned Data'!Y30</f>
        <v>117.7</v>
      </c>
      <c r="Z30" s="2">
        <f>'Cleaned Data'!Z30</f>
        <v>112</v>
      </c>
      <c r="AA30" s="2">
        <f>'Cleaned Data'!AA30</f>
        <v>116.3</v>
      </c>
      <c r="AB30" s="2">
        <f>'Cleaned Data'!AB30</f>
        <v>121.4</v>
      </c>
      <c r="AC30" s="2">
        <f>'Cleaned Data'!AC30</f>
        <v>112.3</v>
      </c>
      <c r="AD30" s="2">
        <f>'Cleaned Data'!AD30</f>
        <v>116.1</v>
      </c>
      <c r="AE30" s="2">
        <f>'Cleaned Data'!AE30</f>
        <v>121.6</v>
      </c>
    </row>
    <row r="31" spans="1:31" x14ac:dyDescent="0.25">
      <c r="A31" s="1">
        <f>'Cleaned Data'!A31</f>
        <v>42156</v>
      </c>
      <c r="B31" s="1" t="str">
        <f>'Cleaned Data'!B31</f>
        <v>Rural+Urban</v>
      </c>
      <c r="C31" s="2">
        <f>'Cleaned Data'!C31</f>
        <v>2015</v>
      </c>
      <c r="D31" s="1" t="str">
        <f>'Cleaned Data'!D31</f>
        <v>June</v>
      </c>
      <c r="E31" s="2">
        <f>'Cleaned Data'!E31</f>
        <v>123.9</v>
      </c>
      <c r="F31" s="2">
        <f>'Cleaned Data'!F31</f>
        <v>131.80000000000001</v>
      </c>
      <c r="G31" s="2">
        <f>'Cleaned Data'!G31</f>
        <v>121.6</v>
      </c>
      <c r="H31" s="2">
        <f>'Cleaned Data'!H31</f>
        <v>128.19999999999999</v>
      </c>
      <c r="I31" s="2">
        <f>'Cleaned Data'!I31</f>
        <v>111.1</v>
      </c>
      <c r="J31" s="2">
        <f>'Cleaned Data'!J31</f>
        <v>132.80000000000001</v>
      </c>
      <c r="K31" s="2">
        <f>'Cleaned Data'!K31</f>
        <v>139.1</v>
      </c>
      <c r="L31" s="2">
        <f>'Cleaned Data'!L31</f>
        <v>137.4</v>
      </c>
      <c r="M31" s="2">
        <f>'Cleaned Data'!M31</f>
        <v>94.1</v>
      </c>
      <c r="N31" s="2">
        <f>'Cleaned Data'!N31</f>
        <v>125.5</v>
      </c>
      <c r="O31" s="2">
        <f>'Cleaned Data'!O31</f>
        <v>119.8</v>
      </c>
      <c r="P31" s="2">
        <f>'Cleaned Data'!P31</f>
        <v>130.9</v>
      </c>
      <c r="Q31" s="2">
        <f>'Cleaned Data'!Q31</f>
        <v>127.3</v>
      </c>
      <c r="R31" s="2">
        <f>'Cleaned Data'!R31</f>
        <v>129.19999999999999</v>
      </c>
      <c r="S31" s="2">
        <f>'Cleaned Data'!S31</f>
        <v>126.4</v>
      </c>
      <c r="T31" s="2">
        <f>'Cleaned Data'!T31</f>
        <v>122</v>
      </c>
      <c r="U31" s="2">
        <f>'Cleaned Data'!U31</f>
        <v>125.7</v>
      </c>
      <c r="V31" s="2">
        <f>'Cleaned Data'!V31</f>
        <v>119</v>
      </c>
      <c r="W31" s="2">
        <f>'Cleaned Data'!W31</f>
        <v>119.8</v>
      </c>
      <c r="X31" s="2">
        <f>'Cleaned Data'!X31</f>
        <v>121.1</v>
      </c>
      <c r="Y31" s="2">
        <f>'Cleaned Data'!Y31</f>
        <v>118.5</v>
      </c>
      <c r="Z31" s="2">
        <f>'Cleaned Data'!Z31</f>
        <v>112.9</v>
      </c>
      <c r="AA31" s="2">
        <f>'Cleaned Data'!AA31</f>
        <v>116.9</v>
      </c>
      <c r="AB31" s="2">
        <f>'Cleaned Data'!AB31</f>
        <v>123.1</v>
      </c>
      <c r="AC31" s="2">
        <f>'Cleaned Data'!AC31</f>
        <v>112.8</v>
      </c>
      <c r="AD31" s="2">
        <f>'Cleaned Data'!AD31</f>
        <v>117</v>
      </c>
      <c r="AE31" s="2">
        <f>'Cleaned Data'!AE31</f>
        <v>123</v>
      </c>
    </row>
    <row r="32" spans="1:31" x14ac:dyDescent="0.25">
      <c r="A32" s="1">
        <f>'Cleaned Data'!A32</f>
        <v>42186</v>
      </c>
      <c r="B32" s="1" t="str">
        <f>'Cleaned Data'!B32</f>
        <v>Rural+Urban</v>
      </c>
      <c r="C32" s="2">
        <f>'Cleaned Data'!C32</f>
        <v>2015</v>
      </c>
      <c r="D32" s="1" t="str">
        <f>'Cleaned Data'!D32</f>
        <v>July</v>
      </c>
      <c r="E32" s="2">
        <f>'Cleaned Data'!E32</f>
        <v>123.7</v>
      </c>
      <c r="F32" s="2">
        <f>'Cleaned Data'!F32</f>
        <v>132.5</v>
      </c>
      <c r="G32" s="2">
        <f>'Cleaned Data'!G32</f>
        <v>121</v>
      </c>
      <c r="H32" s="2">
        <f>'Cleaned Data'!H32</f>
        <v>128.30000000000001</v>
      </c>
      <c r="I32" s="2">
        <f>'Cleaned Data'!I32</f>
        <v>110.9</v>
      </c>
      <c r="J32" s="2">
        <f>'Cleaned Data'!J32</f>
        <v>133.1</v>
      </c>
      <c r="K32" s="2">
        <f>'Cleaned Data'!K32</f>
        <v>145.1</v>
      </c>
      <c r="L32" s="2">
        <f>'Cleaned Data'!L32</f>
        <v>139.1</v>
      </c>
      <c r="M32" s="2">
        <f>'Cleaned Data'!M32</f>
        <v>91.3</v>
      </c>
      <c r="N32" s="2">
        <f>'Cleaned Data'!N32</f>
        <v>126.1</v>
      </c>
      <c r="O32" s="2">
        <f>'Cleaned Data'!O32</f>
        <v>119.9</v>
      </c>
      <c r="P32" s="2">
        <f>'Cleaned Data'!P32</f>
        <v>131.4</v>
      </c>
      <c r="Q32" s="2">
        <f>'Cleaned Data'!Q32</f>
        <v>128.19999999999999</v>
      </c>
      <c r="R32" s="2">
        <f>'Cleaned Data'!R32</f>
        <v>130.4</v>
      </c>
      <c r="S32" s="2">
        <f>'Cleaned Data'!S32</f>
        <v>126.7</v>
      </c>
      <c r="T32" s="2">
        <f>'Cleaned Data'!T32</f>
        <v>122.3</v>
      </c>
      <c r="U32" s="2">
        <f>'Cleaned Data'!U32</f>
        <v>126.1</v>
      </c>
      <c r="V32" s="2">
        <f>'Cleaned Data'!V32</f>
        <v>119.9</v>
      </c>
      <c r="W32" s="2">
        <f>'Cleaned Data'!W32</f>
        <v>120.1</v>
      </c>
      <c r="X32" s="2">
        <f>'Cleaned Data'!X32</f>
        <v>121.3</v>
      </c>
      <c r="Y32" s="2">
        <f>'Cleaned Data'!Y32</f>
        <v>119</v>
      </c>
      <c r="Z32" s="2">
        <f>'Cleaned Data'!Z32</f>
        <v>112.7</v>
      </c>
      <c r="AA32" s="2">
        <f>'Cleaned Data'!AA32</f>
        <v>117.2</v>
      </c>
      <c r="AB32" s="2">
        <f>'Cleaned Data'!AB32</f>
        <v>124.4</v>
      </c>
      <c r="AC32" s="2">
        <f>'Cleaned Data'!AC32</f>
        <v>112.3</v>
      </c>
      <c r="AD32" s="2">
        <f>'Cleaned Data'!AD32</f>
        <v>117.2</v>
      </c>
      <c r="AE32" s="2">
        <f>'Cleaned Data'!AE32</f>
        <v>123.6</v>
      </c>
    </row>
    <row r="33" spans="1:31" x14ac:dyDescent="0.25">
      <c r="A33" s="1">
        <f>'Cleaned Data'!A33</f>
        <v>42217</v>
      </c>
      <c r="B33" s="1" t="str">
        <f>'Cleaned Data'!B33</f>
        <v>Rural+Urban</v>
      </c>
      <c r="C33" s="2">
        <f>'Cleaned Data'!C33</f>
        <v>2015</v>
      </c>
      <c r="D33" s="1" t="str">
        <f>'Cleaned Data'!D33</f>
        <v>August</v>
      </c>
      <c r="E33" s="2">
        <f>'Cleaned Data'!E33</f>
        <v>124.2</v>
      </c>
      <c r="F33" s="2">
        <f>'Cleaned Data'!F33</f>
        <v>131.4</v>
      </c>
      <c r="G33" s="2">
        <f>'Cleaned Data'!G33</f>
        <v>120.1</v>
      </c>
      <c r="H33" s="2">
        <f>'Cleaned Data'!H33</f>
        <v>128.5</v>
      </c>
      <c r="I33" s="2">
        <f>'Cleaned Data'!I33</f>
        <v>111.4</v>
      </c>
      <c r="J33" s="2">
        <f>'Cleaned Data'!J33</f>
        <v>132.30000000000001</v>
      </c>
      <c r="K33" s="2">
        <f>'Cleaned Data'!K33</f>
        <v>157.6</v>
      </c>
      <c r="L33" s="2">
        <f>'Cleaned Data'!L33</f>
        <v>144</v>
      </c>
      <c r="M33" s="2">
        <f>'Cleaned Data'!M33</f>
        <v>90.5</v>
      </c>
      <c r="N33" s="2">
        <f>'Cleaned Data'!N33</f>
        <v>126.8</v>
      </c>
      <c r="O33" s="2">
        <f>'Cleaned Data'!O33</f>
        <v>120.4</v>
      </c>
      <c r="P33" s="2">
        <f>'Cleaned Data'!P33</f>
        <v>132.1</v>
      </c>
      <c r="Q33" s="2">
        <f>'Cleaned Data'!Q33</f>
        <v>130.30000000000001</v>
      </c>
      <c r="R33" s="2">
        <f>'Cleaned Data'!R33</f>
        <v>131.19999999999999</v>
      </c>
      <c r="S33" s="2">
        <f>'Cleaned Data'!S33</f>
        <v>127.2</v>
      </c>
      <c r="T33" s="2">
        <f>'Cleaned Data'!T33</f>
        <v>122.9</v>
      </c>
      <c r="U33" s="2">
        <f>'Cleaned Data'!U33</f>
        <v>126.6</v>
      </c>
      <c r="V33" s="2">
        <f>'Cleaned Data'!V33</f>
        <v>120.9</v>
      </c>
      <c r="W33" s="2">
        <f>'Cleaned Data'!W33</f>
        <v>120.6</v>
      </c>
      <c r="X33" s="2">
        <f>'Cleaned Data'!X33</f>
        <v>122</v>
      </c>
      <c r="Y33" s="2">
        <f>'Cleaned Data'!Y33</f>
        <v>119.4</v>
      </c>
      <c r="Z33" s="2">
        <f>'Cleaned Data'!Z33</f>
        <v>111.7</v>
      </c>
      <c r="AA33" s="2">
        <f>'Cleaned Data'!AA33</f>
        <v>117.8</v>
      </c>
      <c r="AB33" s="2">
        <f>'Cleaned Data'!AB33</f>
        <v>125.1</v>
      </c>
      <c r="AC33" s="2">
        <f>'Cleaned Data'!AC33</f>
        <v>112.3</v>
      </c>
      <c r="AD33" s="2">
        <f>'Cleaned Data'!AD33</f>
        <v>117.2</v>
      </c>
      <c r="AE33" s="2">
        <f>'Cleaned Data'!AE33</f>
        <v>124.8</v>
      </c>
    </row>
    <row r="34" spans="1:31" x14ac:dyDescent="0.25">
      <c r="A34" s="1">
        <f>'Cleaned Data'!A34</f>
        <v>42248</v>
      </c>
      <c r="B34" s="1" t="str">
        <f>'Cleaned Data'!B34</f>
        <v>Rural+Urban</v>
      </c>
      <c r="C34" s="2">
        <f>'Cleaned Data'!C34</f>
        <v>2015</v>
      </c>
      <c r="D34" s="1" t="str">
        <f>'Cleaned Data'!D34</f>
        <v>September</v>
      </c>
      <c r="E34" s="2">
        <f>'Cleaned Data'!E34</f>
        <v>124.6</v>
      </c>
      <c r="F34" s="2">
        <f>'Cleaned Data'!F34</f>
        <v>130.4</v>
      </c>
      <c r="G34" s="2">
        <f>'Cleaned Data'!G34</f>
        <v>118.7</v>
      </c>
      <c r="H34" s="2">
        <f>'Cleaned Data'!H34</f>
        <v>128.9</v>
      </c>
      <c r="I34" s="2">
        <f>'Cleaned Data'!I34</f>
        <v>111.9</v>
      </c>
      <c r="J34" s="2">
        <f>'Cleaned Data'!J34</f>
        <v>128.4</v>
      </c>
      <c r="K34" s="2">
        <f>'Cleaned Data'!K34</f>
        <v>162.19999999999999</v>
      </c>
      <c r="L34" s="2">
        <f>'Cleaned Data'!L34</f>
        <v>150</v>
      </c>
      <c r="M34" s="2">
        <f>'Cleaned Data'!M34</f>
        <v>90.4</v>
      </c>
      <c r="N34" s="2">
        <f>'Cleaned Data'!N34</f>
        <v>128.4</v>
      </c>
      <c r="O34" s="2">
        <f>'Cleaned Data'!O34</f>
        <v>120.7</v>
      </c>
      <c r="P34" s="2">
        <f>'Cleaned Data'!P34</f>
        <v>132.5</v>
      </c>
      <c r="Q34" s="2">
        <f>'Cleaned Data'!Q34</f>
        <v>131.19999999999999</v>
      </c>
      <c r="R34" s="2">
        <f>'Cleaned Data'!R34</f>
        <v>132</v>
      </c>
      <c r="S34" s="2">
        <f>'Cleaned Data'!S34</f>
        <v>127.9</v>
      </c>
      <c r="T34" s="2">
        <f>'Cleaned Data'!T34</f>
        <v>123.4</v>
      </c>
      <c r="U34" s="2">
        <f>'Cleaned Data'!U34</f>
        <v>127.2</v>
      </c>
      <c r="V34" s="2">
        <f>'Cleaned Data'!V34</f>
        <v>121.6</v>
      </c>
      <c r="W34" s="2">
        <f>'Cleaned Data'!W34</f>
        <v>120.4</v>
      </c>
      <c r="X34" s="2">
        <f>'Cleaned Data'!X34</f>
        <v>122.6</v>
      </c>
      <c r="Y34" s="2">
        <f>'Cleaned Data'!Y34</f>
        <v>119.8</v>
      </c>
      <c r="Z34" s="2">
        <f>'Cleaned Data'!Z34</f>
        <v>111.3</v>
      </c>
      <c r="AA34" s="2">
        <f>'Cleaned Data'!AA34</f>
        <v>118.3</v>
      </c>
      <c r="AB34" s="2">
        <f>'Cleaned Data'!AB34</f>
        <v>125.7</v>
      </c>
      <c r="AC34" s="2">
        <f>'Cleaned Data'!AC34</f>
        <v>113.4</v>
      </c>
      <c r="AD34" s="2">
        <f>'Cleaned Data'!AD34</f>
        <v>117.5</v>
      </c>
      <c r="AE34" s="2">
        <f>'Cleaned Data'!AE34</f>
        <v>125.4</v>
      </c>
    </row>
    <row r="35" spans="1:31" x14ac:dyDescent="0.25">
      <c r="A35" s="1">
        <f>'Cleaned Data'!A35</f>
        <v>42278</v>
      </c>
      <c r="B35" s="1" t="str">
        <f>'Cleaned Data'!B35</f>
        <v>Rural+Urban</v>
      </c>
      <c r="C35" s="2">
        <f>'Cleaned Data'!C35</f>
        <v>2015</v>
      </c>
      <c r="D35" s="1" t="str">
        <f>'Cleaned Data'!D35</f>
        <v>October</v>
      </c>
      <c r="E35" s="2">
        <f>'Cleaned Data'!E35</f>
        <v>125</v>
      </c>
      <c r="F35" s="2">
        <f>'Cleaned Data'!F35</f>
        <v>129.80000000000001</v>
      </c>
      <c r="G35" s="2">
        <f>'Cleaned Data'!G35</f>
        <v>118.9</v>
      </c>
      <c r="H35" s="2">
        <f>'Cleaned Data'!H35</f>
        <v>129.1</v>
      </c>
      <c r="I35" s="2">
        <f>'Cleaned Data'!I35</f>
        <v>113.3</v>
      </c>
      <c r="J35" s="2">
        <f>'Cleaned Data'!J35</f>
        <v>129</v>
      </c>
      <c r="K35" s="2">
        <f>'Cleaned Data'!K35</f>
        <v>160.4</v>
      </c>
      <c r="L35" s="2">
        <f>'Cleaned Data'!L35</f>
        <v>165.3</v>
      </c>
      <c r="M35" s="2">
        <f>'Cleaned Data'!M35</f>
        <v>92.3</v>
      </c>
      <c r="N35" s="2">
        <f>'Cleaned Data'!N35</f>
        <v>129.69999999999999</v>
      </c>
      <c r="O35" s="2">
        <f>'Cleaned Data'!O35</f>
        <v>121.1</v>
      </c>
      <c r="P35" s="2">
        <f>'Cleaned Data'!P35</f>
        <v>133</v>
      </c>
      <c r="Q35" s="2">
        <f>'Cleaned Data'!Q35</f>
        <v>132.1</v>
      </c>
      <c r="R35" s="2">
        <f>'Cleaned Data'!R35</f>
        <v>132.5</v>
      </c>
      <c r="S35" s="2">
        <f>'Cleaned Data'!S35</f>
        <v>128.5</v>
      </c>
      <c r="T35" s="2">
        <f>'Cleaned Data'!T35</f>
        <v>123.8</v>
      </c>
      <c r="U35" s="2">
        <f>'Cleaned Data'!U35</f>
        <v>127.8</v>
      </c>
      <c r="V35" s="2">
        <f>'Cleaned Data'!V35</f>
        <v>122.4</v>
      </c>
      <c r="W35" s="2">
        <f>'Cleaned Data'!W35</f>
        <v>120.8</v>
      </c>
      <c r="X35" s="2">
        <f>'Cleaned Data'!X35</f>
        <v>123</v>
      </c>
      <c r="Y35" s="2">
        <f>'Cleaned Data'!Y35</f>
        <v>120.4</v>
      </c>
      <c r="Z35" s="2">
        <f>'Cleaned Data'!Z35</f>
        <v>111.4</v>
      </c>
      <c r="AA35" s="2">
        <f>'Cleaned Data'!AA35</f>
        <v>118.7</v>
      </c>
      <c r="AB35" s="2">
        <f>'Cleaned Data'!AB35</f>
        <v>125.9</v>
      </c>
      <c r="AC35" s="2">
        <f>'Cleaned Data'!AC35</f>
        <v>113.9</v>
      </c>
      <c r="AD35" s="2">
        <f>'Cleaned Data'!AD35</f>
        <v>117.9</v>
      </c>
      <c r="AE35" s="2">
        <f>'Cleaned Data'!AE35</f>
        <v>126.1</v>
      </c>
    </row>
    <row r="36" spans="1:31" x14ac:dyDescent="0.25">
      <c r="A36" s="1">
        <f>'Cleaned Data'!A36</f>
        <v>42309</v>
      </c>
      <c r="B36" s="1" t="str">
        <f>'Cleaned Data'!B36</f>
        <v>Rural+Urban</v>
      </c>
      <c r="C36" s="2">
        <f>'Cleaned Data'!C36</f>
        <v>2015</v>
      </c>
      <c r="D36" s="1" t="str">
        <f>'Cleaned Data'!D36</f>
        <v>November</v>
      </c>
      <c r="E36" s="2">
        <f>'Cleaned Data'!E36</f>
        <v>125.4</v>
      </c>
      <c r="F36" s="2">
        <f>'Cleaned Data'!F36</f>
        <v>130.30000000000001</v>
      </c>
      <c r="G36" s="2">
        <f>'Cleaned Data'!G36</f>
        <v>121.6</v>
      </c>
      <c r="H36" s="2">
        <f>'Cleaned Data'!H36</f>
        <v>129.19999999999999</v>
      </c>
      <c r="I36" s="2">
        <f>'Cleaned Data'!I36</f>
        <v>114.9</v>
      </c>
      <c r="J36" s="2">
        <f>'Cleaned Data'!J36</f>
        <v>128.19999999999999</v>
      </c>
      <c r="K36" s="2">
        <f>'Cleaned Data'!K36</f>
        <v>158.4</v>
      </c>
      <c r="L36" s="2">
        <f>'Cleaned Data'!L36</f>
        <v>171.2</v>
      </c>
      <c r="M36" s="2">
        <f>'Cleaned Data'!M36</f>
        <v>93.3</v>
      </c>
      <c r="N36" s="2">
        <f>'Cleaned Data'!N36</f>
        <v>131.19999999999999</v>
      </c>
      <c r="O36" s="2">
        <f>'Cleaned Data'!O36</f>
        <v>121.7</v>
      </c>
      <c r="P36" s="2">
        <f>'Cleaned Data'!P36</f>
        <v>134</v>
      </c>
      <c r="Q36" s="2">
        <f>'Cleaned Data'!Q36</f>
        <v>132.69999999999999</v>
      </c>
      <c r="R36" s="2">
        <f>'Cleaned Data'!R36</f>
        <v>133.6</v>
      </c>
      <c r="S36" s="2">
        <f>'Cleaned Data'!S36</f>
        <v>129.30000000000001</v>
      </c>
      <c r="T36" s="2">
        <f>'Cleaned Data'!T36</f>
        <v>124.5</v>
      </c>
      <c r="U36" s="2">
        <f>'Cleaned Data'!U36</f>
        <v>128.6</v>
      </c>
      <c r="V36" s="2">
        <f>'Cleaned Data'!V36</f>
        <v>122.9</v>
      </c>
      <c r="W36" s="2">
        <f>'Cleaned Data'!W36</f>
        <v>121.6</v>
      </c>
      <c r="X36" s="2">
        <f>'Cleaned Data'!X36</f>
        <v>123.4</v>
      </c>
      <c r="Y36" s="2">
        <f>'Cleaned Data'!Y36</f>
        <v>120.9</v>
      </c>
      <c r="Z36" s="2">
        <f>'Cleaned Data'!Z36</f>
        <v>111.5</v>
      </c>
      <c r="AA36" s="2">
        <f>'Cleaned Data'!AA36</f>
        <v>119.2</v>
      </c>
      <c r="AB36" s="2">
        <f>'Cleaned Data'!AB36</f>
        <v>126.3</v>
      </c>
      <c r="AC36" s="2">
        <f>'Cleaned Data'!AC36</f>
        <v>113.8</v>
      </c>
      <c r="AD36" s="2">
        <f>'Cleaned Data'!AD36</f>
        <v>118.1</v>
      </c>
      <c r="AE36" s="2">
        <f>'Cleaned Data'!AE36</f>
        <v>126.6</v>
      </c>
    </row>
    <row r="37" spans="1:31" x14ac:dyDescent="0.25">
      <c r="A37" s="1">
        <f>'Cleaned Data'!A37</f>
        <v>42339</v>
      </c>
      <c r="B37" s="1" t="str">
        <f>'Cleaned Data'!B37</f>
        <v>Rural+Urban</v>
      </c>
      <c r="C37" s="2">
        <f>'Cleaned Data'!C37</f>
        <v>2015</v>
      </c>
      <c r="D37" s="1" t="str">
        <f>'Cleaned Data'!D37</f>
        <v>December</v>
      </c>
      <c r="E37" s="2">
        <f>'Cleaned Data'!E37</f>
        <v>125.7</v>
      </c>
      <c r="F37" s="2">
        <f>'Cleaned Data'!F37</f>
        <v>131.4</v>
      </c>
      <c r="G37" s="2">
        <f>'Cleaned Data'!G37</f>
        <v>124.8</v>
      </c>
      <c r="H37" s="2">
        <f>'Cleaned Data'!H37</f>
        <v>129.4</v>
      </c>
      <c r="I37" s="2">
        <f>'Cleaned Data'!I37</f>
        <v>115.3</v>
      </c>
      <c r="J37" s="2">
        <f>'Cleaned Data'!J37</f>
        <v>126.6</v>
      </c>
      <c r="K37" s="2">
        <f>'Cleaned Data'!K37</f>
        <v>146.69999999999999</v>
      </c>
      <c r="L37" s="2">
        <f>'Cleaned Data'!L37</f>
        <v>171.5</v>
      </c>
      <c r="M37" s="2">
        <f>'Cleaned Data'!M37</f>
        <v>94.5</v>
      </c>
      <c r="N37" s="2">
        <f>'Cleaned Data'!N37</f>
        <v>132.1</v>
      </c>
      <c r="O37" s="2">
        <f>'Cleaned Data'!O37</f>
        <v>122</v>
      </c>
      <c r="P37" s="2">
        <f>'Cleaned Data'!P37</f>
        <v>134.69999999999999</v>
      </c>
      <c r="Q37" s="2">
        <f>'Cleaned Data'!Q37</f>
        <v>131.4</v>
      </c>
      <c r="R37" s="2">
        <f>'Cleaned Data'!R37</f>
        <v>134.5</v>
      </c>
      <c r="S37" s="2">
        <f>'Cleaned Data'!S37</f>
        <v>129.69999999999999</v>
      </c>
      <c r="T37" s="2">
        <f>'Cleaned Data'!T37</f>
        <v>124.8</v>
      </c>
      <c r="U37" s="2">
        <f>'Cleaned Data'!U37</f>
        <v>129</v>
      </c>
      <c r="V37" s="2">
        <f>'Cleaned Data'!V37</f>
        <v>122.4</v>
      </c>
      <c r="W37" s="2">
        <f>'Cleaned Data'!W37</f>
        <v>122</v>
      </c>
      <c r="X37" s="2">
        <f>'Cleaned Data'!X37</f>
        <v>123.6</v>
      </c>
      <c r="Y37" s="2">
        <f>'Cleaned Data'!Y37</f>
        <v>121.4</v>
      </c>
      <c r="Z37" s="2">
        <f>'Cleaned Data'!Z37</f>
        <v>111.5</v>
      </c>
      <c r="AA37" s="2">
        <f>'Cleaned Data'!AA37</f>
        <v>119.6</v>
      </c>
      <c r="AB37" s="2">
        <f>'Cleaned Data'!AB37</f>
        <v>126.2</v>
      </c>
      <c r="AC37" s="2">
        <f>'Cleaned Data'!AC37</f>
        <v>113.7</v>
      </c>
      <c r="AD37" s="2">
        <f>'Cleaned Data'!AD37</f>
        <v>118.3</v>
      </c>
      <c r="AE37" s="2">
        <f>'Cleaned Data'!AE37</f>
        <v>126.1</v>
      </c>
    </row>
    <row r="38" spans="1:31" x14ac:dyDescent="0.25">
      <c r="A38" s="1">
        <f>'Cleaned Data'!A38</f>
        <v>42370</v>
      </c>
      <c r="B38" s="1" t="str">
        <f>'Cleaned Data'!B38</f>
        <v>Rural+Urban</v>
      </c>
      <c r="C38" s="2">
        <f>'Cleaned Data'!C38</f>
        <v>2016</v>
      </c>
      <c r="D38" s="1" t="str">
        <f>'Cleaned Data'!D38</f>
        <v>January</v>
      </c>
      <c r="E38" s="2">
        <f>'Cleaned Data'!E38</f>
        <v>126.1</v>
      </c>
      <c r="F38" s="2">
        <f>'Cleaned Data'!F38</f>
        <v>134.1</v>
      </c>
      <c r="G38" s="2">
        <f>'Cleaned Data'!G38</f>
        <v>128.6</v>
      </c>
      <c r="H38" s="2">
        <f>'Cleaned Data'!H38</f>
        <v>129.9</v>
      </c>
      <c r="I38" s="2">
        <f>'Cleaned Data'!I38</f>
        <v>115.5</v>
      </c>
      <c r="J38" s="2">
        <f>'Cleaned Data'!J38</f>
        <v>125.7</v>
      </c>
      <c r="K38" s="2">
        <f>'Cleaned Data'!K38</f>
        <v>141.5</v>
      </c>
      <c r="L38" s="2">
        <f>'Cleaned Data'!L38</f>
        <v>170.7</v>
      </c>
      <c r="M38" s="2">
        <f>'Cleaned Data'!M38</f>
        <v>97.4</v>
      </c>
      <c r="N38" s="2">
        <f>'Cleaned Data'!N38</f>
        <v>132.9</v>
      </c>
      <c r="O38" s="2">
        <f>'Cleaned Data'!O38</f>
        <v>122.7</v>
      </c>
      <c r="P38" s="2">
        <f>'Cleaned Data'!P38</f>
        <v>135.30000000000001</v>
      </c>
      <c r="Q38" s="2">
        <f>'Cleaned Data'!Q38</f>
        <v>131.30000000000001</v>
      </c>
      <c r="R38" s="2">
        <f>'Cleaned Data'!R38</f>
        <v>135.19999999999999</v>
      </c>
      <c r="S38" s="2">
        <f>'Cleaned Data'!S38</f>
        <v>130.30000000000001</v>
      </c>
      <c r="T38" s="2">
        <f>'Cleaned Data'!T38</f>
        <v>125.1</v>
      </c>
      <c r="U38" s="2">
        <f>'Cleaned Data'!U38</f>
        <v>129.5</v>
      </c>
      <c r="V38" s="2">
        <f>'Cleaned Data'!V38</f>
        <v>123.4</v>
      </c>
      <c r="W38" s="2">
        <f>'Cleaned Data'!W38</f>
        <v>122.7</v>
      </c>
      <c r="X38" s="2">
        <f>'Cleaned Data'!X38</f>
        <v>124.2</v>
      </c>
      <c r="Y38" s="2">
        <f>'Cleaned Data'!Y38</f>
        <v>122</v>
      </c>
      <c r="Z38" s="2">
        <f>'Cleaned Data'!Z38</f>
        <v>111.1</v>
      </c>
      <c r="AA38" s="2">
        <f>'Cleaned Data'!AA38</f>
        <v>119.8</v>
      </c>
      <c r="AB38" s="2">
        <f>'Cleaned Data'!AB38</f>
        <v>126.3</v>
      </c>
      <c r="AC38" s="2">
        <f>'Cleaned Data'!AC38</f>
        <v>114.5</v>
      </c>
      <c r="AD38" s="2">
        <f>'Cleaned Data'!AD38</f>
        <v>118.5</v>
      </c>
      <c r="AE38" s="2">
        <f>'Cleaned Data'!AE38</f>
        <v>126.3</v>
      </c>
    </row>
    <row r="39" spans="1:31" x14ac:dyDescent="0.25">
      <c r="A39" s="1">
        <f>'Cleaned Data'!A39</f>
        <v>42401</v>
      </c>
      <c r="B39" s="1" t="str">
        <f>'Cleaned Data'!B39</f>
        <v>Rural+Urban</v>
      </c>
      <c r="C39" s="2">
        <f>'Cleaned Data'!C39</f>
        <v>2016</v>
      </c>
      <c r="D39" s="1" t="str">
        <f>'Cleaned Data'!D39</f>
        <v>February</v>
      </c>
      <c r="E39" s="2">
        <f>'Cleaned Data'!E39</f>
        <v>126.4</v>
      </c>
      <c r="F39" s="2">
        <f>'Cleaned Data'!F39</f>
        <v>134.19999999999999</v>
      </c>
      <c r="G39" s="2">
        <f>'Cleaned Data'!G39</f>
        <v>128.69999999999999</v>
      </c>
      <c r="H39" s="2">
        <f>'Cleaned Data'!H39</f>
        <v>130.30000000000001</v>
      </c>
      <c r="I39" s="2">
        <f>'Cleaned Data'!I39</f>
        <v>114.8</v>
      </c>
      <c r="J39" s="2">
        <f>'Cleaned Data'!J39</f>
        <v>124.9</v>
      </c>
      <c r="K39" s="2">
        <f>'Cleaned Data'!K39</f>
        <v>130.30000000000001</v>
      </c>
      <c r="L39" s="2">
        <f>'Cleaned Data'!L39</f>
        <v>167.4</v>
      </c>
      <c r="M39" s="2">
        <f>'Cleaned Data'!M39</f>
        <v>98.8</v>
      </c>
      <c r="N39" s="2">
        <f>'Cleaned Data'!N39</f>
        <v>133.6</v>
      </c>
      <c r="O39" s="2">
        <f>'Cleaned Data'!O39</f>
        <v>123</v>
      </c>
      <c r="P39" s="2">
        <f>'Cleaned Data'!P39</f>
        <v>135.80000000000001</v>
      </c>
      <c r="Q39" s="2">
        <f>'Cleaned Data'!Q39</f>
        <v>129.9</v>
      </c>
      <c r="R39" s="2">
        <f>'Cleaned Data'!R39</f>
        <v>135.9</v>
      </c>
      <c r="S39" s="2">
        <f>'Cleaned Data'!S39</f>
        <v>130.9</v>
      </c>
      <c r="T39" s="2">
        <f>'Cleaned Data'!T39</f>
        <v>125.8</v>
      </c>
      <c r="U39" s="2">
        <f>'Cleaned Data'!U39</f>
        <v>130.19999999999999</v>
      </c>
      <c r="V39" s="2">
        <f>'Cleaned Data'!V39</f>
        <v>124.4</v>
      </c>
      <c r="W39" s="2">
        <f>'Cleaned Data'!W39</f>
        <v>123.1</v>
      </c>
      <c r="X39" s="2">
        <f>'Cleaned Data'!X39</f>
        <v>124.6</v>
      </c>
      <c r="Y39" s="2">
        <f>'Cleaned Data'!Y39</f>
        <v>122.5</v>
      </c>
      <c r="Z39" s="2">
        <f>'Cleaned Data'!Z39</f>
        <v>111.4</v>
      </c>
      <c r="AA39" s="2">
        <f>'Cleaned Data'!AA39</f>
        <v>120.3</v>
      </c>
      <c r="AB39" s="2">
        <f>'Cleaned Data'!AB39</f>
        <v>126.6</v>
      </c>
      <c r="AC39" s="2">
        <f>'Cleaned Data'!AC39</f>
        <v>116.6</v>
      </c>
      <c r="AD39" s="2">
        <f>'Cleaned Data'!AD39</f>
        <v>119.1</v>
      </c>
      <c r="AE39" s="2">
        <f>'Cleaned Data'!AE39</f>
        <v>126</v>
      </c>
    </row>
    <row r="40" spans="1:31" x14ac:dyDescent="0.25">
      <c r="A40" s="1">
        <f>'Cleaned Data'!A40</f>
        <v>42430</v>
      </c>
      <c r="B40" s="1" t="str">
        <f>'Cleaned Data'!B40</f>
        <v>Rural+Urban</v>
      </c>
      <c r="C40" s="2">
        <f>'Cleaned Data'!C40</f>
        <v>2016</v>
      </c>
      <c r="D40" s="1" t="str">
        <f>'Cleaned Data'!D40</f>
        <v>March</v>
      </c>
      <c r="E40" s="2">
        <f>'Cleaned Data'!E40</f>
        <v>126.5</v>
      </c>
      <c r="F40" s="2">
        <f>'Cleaned Data'!F40</f>
        <v>135.1</v>
      </c>
      <c r="G40" s="2">
        <f>'Cleaned Data'!G40</f>
        <v>124.6</v>
      </c>
      <c r="H40" s="2">
        <f>'Cleaned Data'!H40</f>
        <v>130.19999999999999</v>
      </c>
      <c r="I40" s="2">
        <f>'Cleaned Data'!I40</f>
        <v>114.5</v>
      </c>
      <c r="J40" s="2">
        <f>'Cleaned Data'!J40</f>
        <v>126.2</v>
      </c>
      <c r="K40" s="2">
        <f>'Cleaned Data'!K40</f>
        <v>129.80000000000001</v>
      </c>
      <c r="L40" s="2">
        <f>'Cleaned Data'!L40</f>
        <v>164.3</v>
      </c>
      <c r="M40" s="2">
        <f>'Cleaned Data'!M40</f>
        <v>100.9</v>
      </c>
      <c r="N40" s="2">
        <f>'Cleaned Data'!N40</f>
        <v>133.9</v>
      </c>
      <c r="O40" s="2">
        <f>'Cleaned Data'!O40</f>
        <v>123.1</v>
      </c>
      <c r="P40" s="2">
        <f>'Cleaned Data'!P40</f>
        <v>136.30000000000001</v>
      </c>
      <c r="Q40" s="2">
        <f>'Cleaned Data'!Q40</f>
        <v>129.80000000000001</v>
      </c>
      <c r="R40" s="2">
        <f>'Cleaned Data'!R40</f>
        <v>136.5</v>
      </c>
      <c r="S40" s="2">
        <f>'Cleaned Data'!S40</f>
        <v>131.30000000000001</v>
      </c>
      <c r="T40" s="2">
        <f>'Cleaned Data'!T40</f>
        <v>126.1</v>
      </c>
      <c r="U40" s="2">
        <f>'Cleaned Data'!U40</f>
        <v>130.5</v>
      </c>
      <c r="V40" s="2">
        <f>'Cleaned Data'!V40</f>
        <v>124.9</v>
      </c>
      <c r="W40" s="2">
        <f>'Cleaned Data'!W40</f>
        <v>122.4</v>
      </c>
      <c r="X40" s="2">
        <f>'Cleaned Data'!X40</f>
        <v>125.1</v>
      </c>
      <c r="Y40" s="2">
        <f>'Cleaned Data'!Y40</f>
        <v>122.9</v>
      </c>
      <c r="Z40" s="2">
        <f>'Cleaned Data'!Z40</f>
        <v>110.9</v>
      </c>
      <c r="AA40" s="2">
        <f>'Cleaned Data'!AA40</f>
        <v>120.6</v>
      </c>
      <c r="AB40" s="2">
        <f>'Cleaned Data'!AB40</f>
        <v>126.9</v>
      </c>
      <c r="AC40" s="2">
        <f>'Cleaned Data'!AC40</f>
        <v>117.3</v>
      </c>
      <c r="AD40" s="2">
        <f>'Cleaned Data'!AD40</f>
        <v>119.3</v>
      </c>
      <c r="AE40" s="2">
        <f>'Cleaned Data'!AE40</f>
        <v>126</v>
      </c>
    </row>
    <row r="41" spans="1:31" x14ac:dyDescent="0.25">
      <c r="A41" s="1">
        <f>'Cleaned Data'!A41</f>
        <v>42461</v>
      </c>
      <c r="B41" s="1" t="str">
        <f>'Cleaned Data'!B41</f>
        <v>Rural+Urban</v>
      </c>
      <c r="C41" s="2">
        <f>'Cleaned Data'!C41</f>
        <v>2016</v>
      </c>
      <c r="D41" s="1" t="str">
        <f>'Cleaned Data'!D41</f>
        <v>April</v>
      </c>
      <c r="E41" s="2">
        <f>'Cleaned Data'!E41</f>
        <v>126.6</v>
      </c>
      <c r="F41" s="2">
        <f>'Cleaned Data'!F41</f>
        <v>136.80000000000001</v>
      </c>
      <c r="G41" s="2">
        <f>'Cleaned Data'!G41</f>
        <v>122</v>
      </c>
      <c r="H41" s="2">
        <f>'Cleaned Data'!H41</f>
        <v>130.9</v>
      </c>
      <c r="I41" s="2">
        <f>'Cleaned Data'!I41</f>
        <v>114.8</v>
      </c>
      <c r="J41" s="2">
        <f>'Cleaned Data'!J41</f>
        <v>134.80000000000001</v>
      </c>
      <c r="K41" s="2">
        <f>'Cleaned Data'!K41</f>
        <v>135</v>
      </c>
      <c r="L41" s="2">
        <f>'Cleaned Data'!L41</f>
        <v>167.5</v>
      </c>
      <c r="M41" s="2">
        <f>'Cleaned Data'!M41</f>
        <v>106.4</v>
      </c>
      <c r="N41" s="2">
        <f>'Cleaned Data'!N41</f>
        <v>134.4</v>
      </c>
      <c r="O41" s="2">
        <f>'Cleaned Data'!O41</f>
        <v>123.6</v>
      </c>
      <c r="P41" s="2">
        <f>'Cleaned Data'!P41</f>
        <v>136.69999999999999</v>
      </c>
      <c r="Q41" s="2">
        <f>'Cleaned Data'!Q41</f>
        <v>131.80000000000001</v>
      </c>
      <c r="R41" s="2">
        <f>'Cleaned Data'!R41</f>
        <v>137.1</v>
      </c>
      <c r="S41" s="2">
        <f>'Cleaned Data'!S41</f>
        <v>131.80000000000001</v>
      </c>
      <c r="T41" s="2">
        <f>'Cleaned Data'!T41</f>
        <v>126.4</v>
      </c>
      <c r="U41" s="2">
        <f>'Cleaned Data'!U41</f>
        <v>131</v>
      </c>
      <c r="V41" s="2">
        <f>'Cleaned Data'!V41</f>
        <v>125.6</v>
      </c>
      <c r="W41" s="2">
        <f>'Cleaned Data'!W41</f>
        <v>122.3</v>
      </c>
      <c r="X41" s="2">
        <f>'Cleaned Data'!X41</f>
        <v>125.5</v>
      </c>
      <c r="Y41" s="2">
        <f>'Cleaned Data'!Y41</f>
        <v>123.2</v>
      </c>
      <c r="Z41" s="2">
        <f>'Cleaned Data'!Z41</f>
        <v>112.1</v>
      </c>
      <c r="AA41" s="2">
        <f>'Cleaned Data'!AA41</f>
        <v>121.1</v>
      </c>
      <c r="AB41" s="2">
        <f>'Cleaned Data'!AB41</f>
        <v>127.7</v>
      </c>
      <c r="AC41" s="2">
        <f>'Cleaned Data'!AC41</f>
        <v>118.1</v>
      </c>
      <c r="AD41" s="2">
        <f>'Cleaned Data'!AD41</f>
        <v>120</v>
      </c>
      <c r="AE41" s="2">
        <f>'Cleaned Data'!AE41</f>
        <v>127.3</v>
      </c>
    </row>
    <row r="42" spans="1:31" x14ac:dyDescent="0.25">
      <c r="A42" s="1">
        <f>'Cleaned Data'!A42</f>
        <v>42491</v>
      </c>
      <c r="B42" s="1" t="str">
        <f>'Cleaned Data'!B42</f>
        <v>Rural+Urban</v>
      </c>
      <c r="C42" s="2">
        <f>'Cleaned Data'!C42</f>
        <v>2016</v>
      </c>
      <c r="D42" s="1" t="str">
        <f>'Cleaned Data'!D42</f>
        <v>May</v>
      </c>
      <c r="E42" s="2">
        <f>'Cleaned Data'!E42</f>
        <v>126.8</v>
      </c>
      <c r="F42" s="2">
        <f>'Cleaned Data'!F42</f>
        <v>139.1</v>
      </c>
      <c r="G42" s="2">
        <f>'Cleaned Data'!G42</f>
        <v>125.4</v>
      </c>
      <c r="H42" s="2">
        <f>'Cleaned Data'!H42</f>
        <v>131.69999999999999</v>
      </c>
      <c r="I42" s="2">
        <f>'Cleaned Data'!I42</f>
        <v>115</v>
      </c>
      <c r="J42" s="2">
        <f>'Cleaned Data'!J42</f>
        <v>136</v>
      </c>
      <c r="K42" s="2">
        <f>'Cleaned Data'!K42</f>
        <v>145.1</v>
      </c>
      <c r="L42" s="2">
        <f>'Cleaned Data'!L42</f>
        <v>171.7</v>
      </c>
      <c r="M42" s="2">
        <f>'Cleaned Data'!M42</f>
        <v>108.7</v>
      </c>
      <c r="N42" s="2">
        <f>'Cleaned Data'!N42</f>
        <v>135.30000000000001</v>
      </c>
      <c r="O42" s="2">
        <f>'Cleaned Data'!O42</f>
        <v>124.2</v>
      </c>
      <c r="P42" s="2">
        <f>'Cleaned Data'!P42</f>
        <v>137.4</v>
      </c>
      <c r="Q42" s="2">
        <f>'Cleaned Data'!Q42</f>
        <v>134</v>
      </c>
      <c r="R42" s="2">
        <f>'Cleaned Data'!R42</f>
        <v>137.69999999999999</v>
      </c>
      <c r="S42" s="2">
        <f>'Cleaned Data'!S42</f>
        <v>132.19999999999999</v>
      </c>
      <c r="T42" s="2">
        <f>'Cleaned Data'!T42</f>
        <v>126.8</v>
      </c>
      <c r="U42" s="2">
        <f>'Cleaned Data'!U42</f>
        <v>131.4</v>
      </c>
      <c r="V42" s="2">
        <f>'Cleaned Data'!V42</f>
        <v>126</v>
      </c>
      <c r="W42" s="2">
        <f>'Cleaned Data'!W42</f>
        <v>122.7</v>
      </c>
      <c r="X42" s="2">
        <f>'Cleaned Data'!X42</f>
        <v>126</v>
      </c>
      <c r="Y42" s="2">
        <f>'Cleaned Data'!Y42</f>
        <v>123.7</v>
      </c>
      <c r="Z42" s="2">
        <f>'Cleaned Data'!Z42</f>
        <v>112.8</v>
      </c>
      <c r="AA42" s="2">
        <f>'Cleaned Data'!AA42</f>
        <v>121.5</v>
      </c>
      <c r="AB42" s="2">
        <f>'Cleaned Data'!AB42</f>
        <v>128.5</v>
      </c>
      <c r="AC42" s="2">
        <f>'Cleaned Data'!AC42</f>
        <v>119.2</v>
      </c>
      <c r="AD42" s="2">
        <f>'Cleaned Data'!AD42</f>
        <v>120.7</v>
      </c>
      <c r="AE42" s="2">
        <f>'Cleaned Data'!AE42</f>
        <v>128.6</v>
      </c>
    </row>
    <row r="43" spans="1:31" x14ac:dyDescent="0.25">
      <c r="A43" s="1">
        <f>'Cleaned Data'!A43</f>
        <v>42522</v>
      </c>
      <c r="B43" s="1" t="str">
        <f>'Cleaned Data'!B43</f>
        <v>Rural+Urban</v>
      </c>
      <c r="C43" s="2">
        <f>'Cleaned Data'!C43</f>
        <v>2016</v>
      </c>
      <c r="D43" s="1" t="str">
        <f>'Cleaned Data'!D43</f>
        <v>June</v>
      </c>
      <c r="E43" s="2">
        <f>'Cleaned Data'!E43</f>
        <v>127.7</v>
      </c>
      <c r="F43" s="2">
        <f>'Cleaned Data'!F43</f>
        <v>140.5</v>
      </c>
      <c r="G43" s="2">
        <f>'Cleaned Data'!G43</f>
        <v>128.30000000000001</v>
      </c>
      <c r="H43" s="2">
        <f>'Cleaned Data'!H43</f>
        <v>132.6</v>
      </c>
      <c r="I43" s="2">
        <f>'Cleaned Data'!I43</f>
        <v>115.5</v>
      </c>
      <c r="J43" s="2">
        <f>'Cleaned Data'!J43</f>
        <v>136.5</v>
      </c>
      <c r="K43" s="2">
        <f>'Cleaned Data'!K43</f>
        <v>159.69999999999999</v>
      </c>
      <c r="L43" s="2">
        <f>'Cleaned Data'!L43</f>
        <v>174.3</v>
      </c>
      <c r="M43" s="2">
        <f>'Cleaned Data'!M43</f>
        <v>109.9</v>
      </c>
      <c r="N43" s="2">
        <f>'Cleaned Data'!N43</f>
        <v>136.30000000000001</v>
      </c>
      <c r="O43" s="2">
        <f>'Cleaned Data'!O43</f>
        <v>124.4</v>
      </c>
      <c r="P43" s="2">
        <f>'Cleaned Data'!P43</f>
        <v>138.1</v>
      </c>
      <c r="Q43" s="2">
        <f>'Cleaned Data'!Q43</f>
        <v>136.80000000000001</v>
      </c>
      <c r="R43" s="2">
        <f>'Cleaned Data'!R43</f>
        <v>138.69999999999999</v>
      </c>
      <c r="S43" s="2">
        <f>'Cleaned Data'!S43</f>
        <v>132.9</v>
      </c>
      <c r="T43" s="2">
        <f>'Cleaned Data'!T43</f>
        <v>127.2</v>
      </c>
      <c r="U43" s="2">
        <f>'Cleaned Data'!U43</f>
        <v>132</v>
      </c>
      <c r="V43" s="2">
        <f>'Cleaned Data'!V43</f>
        <v>125.5</v>
      </c>
      <c r="W43" s="2">
        <f>'Cleaned Data'!W43</f>
        <v>123.3</v>
      </c>
      <c r="X43" s="2">
        <f>'Cleaned Data'!X43</f>
        <v>126.4</v>
      </c>
      <c r="Y43" s="2">
        <f>'Cleaned Data'!Y43</f>
        <v>124.1</v>
      </c>
      <c r="Z43" s="2">
        <f>'Cleaned Data'!Z43</f>
        <v>114.2</v>
      </c>
      <c r="AA43" s="2">
        <f>'Cleaned Data'!AA43</f>
        <v>121.7</v>
      </c>
      <c r="AB43" s="2">
        <f>'Cleaned Data'!AB43</f>
        <v>129.69999999999999</v>
      </c>
      <c r="AC43" s="2">
        <f>'Cleaned Data'!AC43</f>
        <v>119.4</v>
      </c>
      <c r="AD43" s="2">
        <f>'Cleaned Data'!AD43</f>
        <v>121.5</v>
      </c>
      <c r="AE43" s="2">
        <f>'Cleaned Data'!AE43</f>
        <v>130.1</v>
      </c>
    </row>
    <row r="44" spans="1:31" x14ac:dyDescent="0.25">
      <c r="A44" s="1">
        <f>'Cleaned Data'!A44</f>
        <v>42552</v>
      </c>
      <c r="B44" s="1" t="str">
        <f>'Cleaned Data'!B44</f>
        <v>Rural+Urban</v>
      </c>
      <c r="C44" s="2">
        <f>'Cleaned Data'!C44</f>
        <v>2016</v>
      </c>
      <c r="D44" s="1" t="str">
        <f>'Cleaned Data'!D44</f>
        <v>July</v>
      </c>
      <c r="E44" s="2">
        <f>'Cleaned Data'!E44</f>
        <v>128.5</v>
      </c>
      <c r="F44" s="2">
        <f>'Cleaned Data'!F44</f>
        <v>141.19999999999999</v>
      </c>
      <c r="G44" s="2">
        <f>'Cleaned Data'!G44</f>
        <v>132.30000000000001</v>
      </c>
      <c r="H44" s="2">
        <f>'Cleaned Data'!H44</f>
        <v>133.5</v>
      </c>
      <c r="I44" s="2">
        <f>'Cleaned Data'!I44</f>
        <v>116.4</v>
      </c>
      <c r="J44" s="2">
        <f>'Cleaned Data'!J44</f>
        <v>137.80000000000001</v>
      </c>
      <c r="K44" s="2">
        <f>'Cleaned Data'!K44</f>
        <v>165.4</v>
      </c>
      <c r="L44" s="2">
        <f>'Cleaned Data'!L44</f>
        <v>177.4</v>
      </c>
      <c r="M44" s="2">
        <f>'Cleaned Data'!M44</f>
        <v>111.3</v>
      </c>
      <c r="N44" s="2">
        <f>'Cleaned Data'!N44</f>
        <v>137.5</v>
      </c>
      <c r="O44" s="2">
        <f>'Cleaned Data'!O44</f>
        <v>125</v>
      </c>
      <c r="P44" s="2">
        <f>'Cleaned Data'!P44</f>
        <v>138.80000000000001</v>
      </c>
      <c r="Q44" s="2">
        <f>'Cleaned Data'!Q44</f>
        <v>138.4</v>
      </c>
      <c r="R44" s="2">
        <f>'Cleaned Data'!R44</f>
        <v>139.30000000000001</v>
      </c>
      <c r="S44" s="2">
        <f>'Cleaned Data'!S44</f>
        <v>133.5</v>
      </c>
      <c r="T44" s="2">
        <f>'Cleaned Data'!T44</f>
        <v>127.6</v>
      </c>
      <c r="U44" s="2">
        <f>'Cleaned Data'!U44</f>
        <v>132.69999999999999</v>
      </c>
      <c r="V44" s="2">
        <f>'Cleaned Data'!V44</f>
        <v>126.4</v>
      </c>
      <c r="W44" s="2">
        <f>'Cleaned Data'!W44</f>
        <v>123.4</v>
      </c>
      <c r="X44" s="2">
        <f>'Cleaned Data'!X44</f>
        <v>126.9</v>
      </c>
      <c r="Y44" s="2">
        <f>'Cleaned Data'!Y44</f>
        <v>124.5</v>
      </c>
      <c r="Z44" s="2">
        <f>'Cleaned Data'!Z44</f>
        <v>113.9</v>
      </c>
      <c r="AA44" s="2">
        <f>'Cleaned Data'!AA44</f>
        <v>122.4</v>
      </c>
      <c r="AB44" s="2">
        <f>'Cleaned Data'!AB44</f>
        <v>130.80000000000001</v>
      </c>
      <c r="AC44" s="2">
        <f>'Cleaned Data'!AC44</f>
        <v>120.5</v>
      </c>
      <c r="AD44" s="2">
        <f>'Cleaned Data'!AD44</f>
        <v>121.9</v>
      </c>
      <c r="AE44" s="2">
        <f>'Cleaned Data'!AE44</f>
        <v>131.1</v>
      </c>
    </row>
    <row r="45" spans="1:31" x14ac:dyDescent="0.25">
      <c r="A45" s="1">
        <f>'Cleaned Data'!A45</f>
        <v>42583</v>
      </c>
      <c r="B45" s="1" t="str">
        <f>'Cleaned Data'!B45</f>
        <v>Rural+Urban</v>
      </c>
      <c r="C45" s="2">
        <f>'Cleaned Data'!C45</f>
        <v>2016</v>
      </c>
      <c r="D45" s="1" t="str">
        <f>'Cleaned Data'!D45</f>
        <v>August</v>
      </c>
      <c r="E45" s="2">
        <f>'Cleaned Data'!E45</f>
        <v>129.30000000000001</v>
      </c>
      <c r="F45" s="2">
        <f>'Cleaned Data'!F45</f>
        <v>139.30000000000001</v>
      </c>
      <c r="G45" s="2">
        <f>'Cleaned Data'!G45</f>
        <v>131.6</v>
      </c>
      <c r="H45" s="2">
        <f>'Cleaned Data'!H45</f>
        <v>134.1</v>
      </c>
      <c r="I45" s="2">
        <f>'Cleaned Data'!I45</f>
        <v>116.9</v>
      </c>
      <c r="J45" s="2">
        <f>'Cleaned Data'!J45</f>
        <v>138.1</v>
      </c>
      <c r="K45" s="2">
        <f>'Cleaned Data'!K45</f>
        <v>159.1</v>
      </c>
      <c r="L45" s="2">
        <f>'Cleaned Data'!L45</f>
        <v>175.6</v>
      </c>
      <c r="M45" s="2">
        <f>'Cleaned Data'!M45</f>
        <v>112.9</v>
      </c>
      <c r="N45" s="2">
        <f>'Cleaned Data'!N45</f>
        <v>138.1</v>
      </c>
      <c r="O45" s="2">
        <f>'Cleaned Data'!O45</f>
        <v>125.5</v>
      </c>
      <c r="P45" s="2">
        <f>'Cleaned Data'!P45</f>
        <v>139.5</v>
      </c>
      <c r="Q45" s="2">
        <f>'Cleaned Data'!Q45</f>
        <v>137.9</v>
      </c>
      <c r="R45" s="2">
        <f>'Cleaned Data'!R45</f>
        <v>140.19999999999999</v>
      </c>
      <c r="S45" s="2">
        <f>'Cleaned Data'!S45</f>
        <v>134.1</v>
      </c>
      <c r="T45" s="2">
        <f>'Cleaned Data'!T45</f>
        <v>128.19999999999999</v>
      </c>
      <c r="U45" s="2">
        <f>'Cleaned Data'!U45</f>
        <v>133.19999999999999</v>
      </c>
      <c r="V45" s="2">
        <f>'Cleaned Data'!V45</f>
        <v>127.3</v>
      </c>
      <c r="W45" s="2">
        <f>'Cleaned Data'!W45</f>
        <v>123.6</v>
      </c>
      <c r="X45" s="2">
        <f>'Cleaned Data'!X45</f>
        <v>127.4</v>
      </c>
      <c r="Y45" s="2">
        <f>'Cleaned Data'!Y45</f>
        <v>124.8</v>
      </c>
      <c r="Z45" s="2">
        <f>'Cleaned Data'!Z45</f>
        <v>113.1</v>
      </c>
      <c r="AA45" s="2">
        <f>'Cleaned Data'!AA45</f>
        <v>122.7</v>
      </c>
      <c r="AB45" s="2">
        <f>'Cleaned Data'!AB45</f>
        <v>131.69999999999999</v>
      </c>
      <c r="AC45" s="2">
        <f>'Cleaned Data'!AC45</f>
        <v>121.5</v>
      </c>
      <c r="AD45" s="2">
        <f>'Cleaned Data'!AD45</f>
        <v>122.1</v>
      </c>
      <c r="AE45" s="2">
        <f>'Cleaned Data'!AE45</f>
        <v>131.1</v>
      </c>
    </row>
    <row r="46" spans="1:31" x14ac:dyDescent="0.25">
      <c r="A46" s="1">
        <f>'Cleaned Data'!A46</f>
        <v>42614</v>
      </c>
      <c r="B46" s="1" t="str">
        <f>'Cleaned Data'!B46</f>
        <v>Rural+Urban</v>
      </c>
      <c r="C46" s="2">
        <f>'Cleaned Data'!C46</f>
        <v>2016</v>
      </c>
      <c r="D46" s="1" t="str">
        <f>'Cleaned Data'!D46</f>
        <v>September</v>
      </c>
      <c r="E46" s="2">
        <f>'Cleaned Data'!E46</f>
        <v>129.9</v>
      </c>
      <c r="F46" s="2">
        <f>'Cleaned Data'!F46</f>
        <v>138</v>
      </c>
      <c r="G46" s="2">
        <f>'Cleaned Data'!G46</f>
        <v>130.5</v>
      </c>
      <c r="H46" s="2">
        <f>'Cleaned Data'!H46</f>
        <v>134.4</v>
      </c>
      <c r="I46" s="2">
        <f>'Cleaned Data'!I46</f>
        <v>117.2</v>
      </c>
      <c r="J46" s="2">
        <f>'Cleaned Data'!J46</f>
        <v>136.1</v>
      </c>
      <c r="K46" s="2">
        <f>'Cleaned Data'!K46</f>
        <v>150.69999999999999</v>
      </c>
      <c r="L46" s="2">
        <f>'Cleaned Data'!L46</f>
        <v>171.5</v>
      </c>
      <c r="M46" s="2">
        <f>'Cleaned Data'!M46</f>
        <v>113.8</v>
      </c>
      <c r="N46" s="2">
        <f>'Cleaned Data'!N46</f>
        <v>138.80000000000001</v>
      </c>
      <c r="O46" s="2">
        <f>'Cleaned Data'!O46</f>
        <v>126</v>
      </c>
      <c r="P46" s="2">
        <f>'Cleaned Data'!P46</f>
        <v>140.19999999999999</v>
      </c>
      <c r="Q46" s="2">
        <f>'Cleaned Data'!Q46</f>
        <v>136.6</v>
      </c>
      <c r="R46" s="2">
        <f>'Cleaned Data'!R46</f>
        <v>141</v>
      </c>
      <c r="S46" s="2">
        <f>'Cleaned Data'!S46</f>
        <v>134.6</v>
      </c>
      <c r="T46" s="2">
        <f>'Cleaned Data'!T46</f>
        <v>128.6</v>
      </c>
      <c r="U46" s="2">
        <f>'Cleaned Data'!U46</f>
        <v>133.80000000000001</v>
      </c>
      <c r="V46" s="2">
        <f>'Cleaned Data'!V46</f>
        <v>127.9</v>
      </c>
      <c r="W46" s="2">
        <f>'Cleaned Data'!W46</f>
        <v>124.1</v>
      </c>
      <c r="X46" s="2">
        <f>'Cleaned Data'!X46</f>
        <v>127.9</v>
      </c>
      <c r="Y46" s="2">
        <f>'Cleaned Data'!Y46</f>
        <v>125.4</v>
      </c>
      <c r="Z46" s="2">
        <f>'Cleaned Data'!Z46</f>
        <v>114.3</v>
      </c>
      <c r="AA46" s="2">
        <f>'Cleaned Data'!AA46</f>
        <v>122.9</v>
      </c>
      <c r="AB46" s="2">
        <f>'Cleaned Data'!AB46</f>
        <v>131.80000000000001</v>
      </c>
      <c r="AC46" s="2">
        <f>'Cleaned Data'!AC46</f>
        <v>122.1</v>
      </c>
      <c r="AD46" s="2">
        <f>'Cleaned Data'!AD46</f>
        <v>122.8</v>
      </c>
      <c r="AE46" s="2">
        <f>'Cleaned Data'!AE46</f>
        <v>130.9</v>
      </c>
    </row>
    <row r="47" spans="1:31" x14ac:dyDescent="0.25">
      <c r="A47" s="1">
        <f>'Cleaned Data'!A47</f>
        <v>42644</v>
      </c>
      <c r="B47" s="1" t="str">
        <f>'Cleaned Data'!B47</f>
        <v>Rural+Urban</v>
      </c>
      <c r="C47" s="2">
        <f>'Cleaned Data'!C47</f>
        <v>2016</v>
      </c>
      <c r="D47" s="1" t="str">
        <f>'Cleaned Data'!D47</f>
        <v>October</v>
      </c>
      <c r="E47" s="2">
        <f>'Cleaned Data'!E47</f>
        <v>130.5</v>
      </c>
      <c r="F47" s="2">
        <f>'Cleaned Data'!F47</f>
        <v>137.9</v>
      </c>
      <c r="G47" s="2">
        <f>'Cleaned Data'!G47</f>
        <v>130.19999999999999</v>
      </c>
      <c r="H47" s="2">
        <f>'Cleaned Data'!H47</f>
        <v>134.80000000000001</v>
      </c>
      <c r="I47" s="2">
        <f>'Cleaned Data'!I47</f>
        <v>117.8</v>
      </c>
      <c r="J47" s="2">
        <f>'Cleaned Data'!J47</f>
        <v>134.69999999999999</v>
      </c>
      <c r="K47" s="2">
        <f>'Cleaned Data'!K47</f>
        <v>151.19999999999999</v>
      </c>
      <c r="L47" s="2">
        <f>'Cleaned Data'!L47</f>
        <v>172.1</v>
      </c>
      <c r="M47" s="2">
        <f>'Cleaned Data'!M47</f>
        <v>114.1</v>
      </c>
      <c r="N47" s="2">
        <f>'Cleaned Data'!N47</f>
        <v>139.30000000000001</v>
      </c>
      <c r="O47" s="2">
        <f>'Cleaned Data'!O47</f>
        <v>126.1</v>
      </c>
      <c r="P47" s="2">
        <f>'Cleaned Data'!P47</f>
        <v>141.1</v>
      </c>
      <c r="Q47" s="2">
        <f>'Cleaned Data'!Q47</f>
        <v>137</v>
      </c>
      <c r="R47" s="2">
        <f>'Cleaned Data'!R47</f>
        <v>141.80000000000001</v>
      </c>
      <c r="S47" s="2">
        <f>'Cleaned Data'!S47</f>
        <v>135.5</v>
      </c>
      <c r="T47" s="2">
        <f>'Cleaned Data'!T47</f>
        <v>129.1</v>
      </c>
      <c r="U47" s="2">
        <f>'Cleaned Data'!U47</f>
        <v>134.5</v>
      </c>
      <c r="V47" s="2">
        <f>'Cleaned Data'!V47</f>
        <v>128.69999999999999</v>
      </c>
      <c r="W47" s="2">
        <f>'Cleaned Data'!W47</f>
        <v>124.3</v>
      </c>
      <c r="X47" s="2">
        <f>'Cleaned Data'!X47</f>
        <v>128.4</v>
      </c>
      <c r="Y47" s="2">
        <f>'Cleaned Data'!Y47</f>
        <v>126.1</v>
      </c>
      <c r="Z47" s="2">
        <f>'Cleaned Data'!Z47</f>
        <v>115.2</v>
      </c>
      <c r="AA47" s="2">
        <f>'Cleaned Data'!AA47</f>
        <v>123.5</v>
      </c>
      <c r="AB47" s="2">
        <f>'Cleaned Data'!AB47</f>
        <v>132.4</v>
      </c>
      <c r="AC47" s="2">
        <f>'Cleaned Data'!AC47</f>
        <v>122.1</v>
      </c>
      <c r="AD47" s="2">
        <f>'Cleaned Data'!AD47</f>
        <v>123.4</v>
      </c>
      <c r="AE47" s="2">
        <f>'Cleaned Data'!AE47</f>
        <v>131.4</v>
      </c>
    </row>
    <row r="48" spans="1:31" x14ac:dyDescent="0.25">
      <c r="A48" s="1">
        <f>'Cleaned Data'!A48</f>
        <v>42675</v>
      </c>
      <c r="B48" s="1" t="str">
        <f>'Cleaned Data'!B48</f>
        <v>Rural+Urban</v>
      </c>
      <c r="C48" s="2">
        <f>'Cleaned Data'!C48</f>
        <v>2016</v>
      </c>
      <c r="D48" s="1" t="str">
        <f>'Cleaned Data'!D48</f>
        <v>November</v>
      </c>
      <c r="E48" s="2">
        <f>'Cleaned Data'!E48</f>
        <v>131.4</v>
      </c>
      <c r="F48" s="2">
        <f>'Cleaned Data'!F48</f>
        <v>137.80000000000001</v>
      </c>
      <c r="G48" s="2">
        <f>'Cleaned Data'!G48</f>
        <v>132</v>
      </c>
      <c r="H48" s="2">
        <f>'Cleaned Data'!H48</f>
        <v>135</v>
      </c>
      <c r="I48" s="2">
        <f>'Cleaned Data'!I48</f>
        <v>118</v>
      </c>
      <c r="J48" s="2">
        <f>'Cleaned Data'!J48</f>
        <v>134.1</v>
      </c>
      <c r="K48" s="2">
        <f>'Cleaned Data'!K48</f>
        <v>141.9</v>
      </c>
      <c r="L48" s="2">
        <f>'Cleaned Data'!L48</f>
        <v>171.7</v>
      </c>
      <c r="M48" s="2">
        <f>'Cleaned Data'!M48</f>
        <v>114.1</v>
      </c>
      <c r="N48" s="2">
        <f>'Cleaned Data'!N48</f>
        <v>139.69999999999999</v>
      </c>
      <c r="O48" s="2">
        <f>'Cleaned Data'!O48</f>
        <v>126.2</v>
      </c>
      <c r="P48" s="2">
        <f>'Cleaned Data'!P48</f>
        <v>141.80000000000001</v>
      </c>
      <c r="Q48" s="2">
        <f>'Cleaned Data'!Q48</f>
        <v>136.1</v>
      </c>
      <c r="R48" s="2">
        <f>'Cleaned Data'!R48</f>
        <v>142</v>
      </c>
      <c r="S48" s="2">
        <f>'Cleaned Data'!S48</f>
        <v>135.80000000000001</v>
      </c>
      <c r="T48" s="2">
        <f>'Cleaned Data'!T48</f>
        <v>129.30000000000001</v>
      </c>
      <c r="U48" s="2">
        <f>'Cleaned Data'!U48</f>
        <v>135</v>
      </c>
      <c r="V48" s="2">
        <f>'Cleaned Data'!V48</f>
        <v>129.1</v>
      </c>
      <c r="W48" s="2">
        <f>'Cleaned Data'!W48</f>
        <v>125</v>
      </c>
      <c r="X48" s="2">
        <f>'Cleaned Data'!X48</f>
        <v>128.6</v>
      </c>
      <c r="Y48" s="2">
        <f>'Cleaned Data'!Y48</f>
        <v>126.4</v>
      </c>
      <c r="Z48" s="2">
        <f>'Cleaned Data'!Z48</f>
        <v>115.7</v>
      </c>
      <c r="AA48" s="2">
        <f>'Cleaned Data'!AA48</f>
        <v>124</v>
      </c>
      <c r="AB48" s="2">
        <f>'Cleaned Data'!AB48</f>
        <v>132.80000000000001</v>
      </c>
      <c r="AC48" s="2">
        <f>'Cleaned Data'!AC48</f>
        <v>122.6</v>
      </c>
      <c r="AD48" s="2">
        <f>'Cleaned Data'!AD48</f>
        <v>123.8</v>
      </c>
      <c r="AE48" s="2">
        <f>'Cleaned Data'!AE48</f>
        <v>131.19999999999999</v>
      </c>
    </row>
    <row r="49" spans="1:31" x14ac:dyDescent="0.25">
      <c r="A49" s="1">
        <f>'Cleaned Data'!A49</f>
        <v>42705</v>
      </c>
      <c r="B49" s="1" t="str">
        <f>'Cleaned Data'!B49</f>
        <v>Rural+Urban</v>
      </c>
      <c r="C49" s="2">
        <f>'Cleaned Data'!C49</f>
        <v>2016</v>
      </c>
      <c r="D49" s="1" t="str">
        <f>'Cleaned Data'!D49</f>
        <v>December</v>
      </c>
      <c r="E49" s="2">
        <f>'Cleaned Data'!E49</f>
        <v>132.30000000000001</v>
      </c>
      <c r="F49" s="2">
        <f>'Cleaned Data'!F49</f>
        <v>137.6</v>
      </c>
      <c r="G49" s="2">
        <f>'Cleaned Data'!G49</f>
        <v>132.9</v>
      </c>
      <c r="H49" s="2">
        <f>'Cleaned Data'!H49</f>
        <v>135.1</v>
      </c>
      <c r="I49" s="2">
        <f>'Cleaned Data'!I49</f>
        <v>118.6</v>
      </c>
      <c r="J49" s="2">
        <f>'Cleaned Data'!J49</f>
        <v>132.69999999999999</v>
      </c>
      <c r="K49" s="2">
        <f>'Cleaned Data'!K49</f>
        <v>125.3</v>
      </c>
      <c r="L49" s="2">
        <f>'Cleaned Data'!L49</f>
        <v>168.7</v>
      </c>
      <c r="M49" s="2">
        <f>'Cleaned Data'!M49</f>
        <v>114.4</v>
      </c>
      <c r="N49" s="2">
        <f>'Cleaned Data'!N49</f>
        <v>140.19999999999999</v>
      </c>
      <c r="O49" s="2">
        <f>'Cleaned Data'!O49</f>
        <v>126.6</v>
      </c>
      <c r="P49" s="2">
        <f>'Cleaned Data'!P49</f>
        <v>142.30000000000001</v>
      </c>
      <c r="Q49" s="2">
        <f>'Cleaned Data'!Q49</f>
        <v>134</v>
      </c>
      <c r="R49" s="2">
        <f>'Cleaned Data'!R49</f>
        <v>143.1</v>
      </c>
      <c r="S49" s="2">
        <f>'Cleaned Data'!S49</f>
        <v>136.30000000000001</v>
      </c>
      <c r="T49" s="2">
        <f>'Cleaned Data'!T49</f>
        <v>129.80000000000001</v>
      </c>
      <c r="U49" s="2">
        <f>'Cleaned Data'!U49</f>
        <v>135.4</v>
      </c>
      <c r="V49" s="2">
        <f>'Cleaned Data'!V49</f>
        <v>128.5</v>
      </c>
      <c r="W49" s="2">
        <f>'Cleaned Data'!W49</f>
        <v>126.6</v>
      </c>
      <c r="X49" s="2">
        <f>'Cleaned Data'!X49</f>
        <v>129.19999999999999</v>
      </c>
      <c r="Y49" s="2">
        <f>'Cleaned Data'!Y49</f>
        <v>126.9</v>
      </c>
      <c r="Z49" s="2">
        <f>'Cleaned Data'!Z49</f>
        <v>116</v>
      </c>
      <c r="AA49" s="2">
        <f>'Cleaned Data'!AA49</f>
        <v>124.2</v>
      </c>
      <c r="AB49" s="2">
        <f>'Cleaned Data'!AB49</f>
        <v>133.1</v>
      </c>
      <c r="AC49" s="2">
        <f>'Cleaned Data'!AC49</f>
        <v>121.1</v>
      </c>
      <c r="AD49" s="2">
        <f>'Cleaned Data'!AD49</f>
        <v>123.9</v>
      </c>
      <c r="AE49" s="2">
        <f>'Cleaned Data'!AE49</f>
        <v>130.4</v>
      </c>
    </row>
    <row r="50" spans="1:31" x14ac:dyDescent="0.25">
      <c r="A50" s="1">
        <f>'Cleaned Data'!A50</f>
        <v>42736</v>
      </c>
      <c r="B50" s="1" t="str">
        <f>'Cleaned Data'!B50</f>
        <v>Rural+Urban</v>
      </c>
      <c r="C50" s="2">
        <f>'Cleaned Data'!C50</f>
        <v>2017</v>
      </c>
      <c r="D50" s="1" t="str">
        <f>'Cleaned Data'!D50</f>
        <v>January</v>
      </c>
      <c r="E50" s="2">
        <f>'Cleaned Data'!E50</f>
        <v>132.80000000000001</v>
      </c>
      <c r="F50" s="2">
        <f>'Cleaned Data'!F50</f>
        <v>138.19999999999999</v>
      </c>
      <c r="G50" s="2">
        <f>'Cleaned Data'!G50</f>
        <v>132.19999999999999</v>
      </c>
      <c r="H50" s="2">
        <f>'Cleaned Data'!H50</f>
        <v>135.4</v>
      </c>
      <c r="I50" s="2">
        <f>'Cleaned Data'!I50</f>
        <v>119.1</v>
      </c>
      <c r="J50" s="2">
        <f>'Cleaned Data'!J50</f>
        <v>133</v>
      </c>
      <c r="K50" s="2">
        <f>'Cleaned Data'!K50</f>
        <v>119.4</v>
      </c>
      <c r="L50" s="2">
        <f>'Cleaned Data'!L50</f>
        <v>159.5</v>
      </c>
      <c r="M50" s="2">
        <f>'Cleaned Data'!M50</f>
        <v>115.6</v>
      </c>
      <c r="N50" s="2">
        <f>'Cleaned Data'!N50</f>
        <v>139.6</v>
      </c>
      <c r="O50" s="2">
        <f>'Cleaned Data'!O50</f>
        <v>126.6</v>
      </c>
      <c r="P50" s="2">
        <f>'Cleaned Data'!P50</f>
        <v>142.80000000000001</v>
      </c>
      <c r="Q50" s="2">
        <f>'Cleaned Data'!Q50</f>
        <v>133.1</v>
      </c>
      <c r="R50" s="2">
        <f>'Cleaned Data'!R50</f>
        <v>143.80000000000001</v>
      </c>
      <c r="S50" s="2">
        <f>'Cleaned Data'!S50</f>
        <v>136.6</v>
      </c>
      <c r="T50" s="2">
        <f>'Cleaned Data'!T50</f>
        <v>130.19999999999999</v>
      </c>
      <c r="U50" s="2">
        <f>'Cleaned Data'!U50</f>
        <v>135.6</v>
      </c>
      <c r="V50" s="2">
        <f>'Cleaned Data'!V50</f>
        <v>129.6</v>
      </c>
      <c r="W50" s="2">
        <f>'Cleaned Data'!W50</f>
        <v>126.8</v>
      </c>
      <c r="X50" s="2">
        <f>'Cleaned Data'!X50</f>
        <v>129.4</v>
      </c>
      <c r="Y50" s="2">
        <f>'Cleaned Data'!Y50</f>
        <v>127.1</v>
      </c>
      <c r="Z50" s="2">
        <f>'Cleaned Data'!Z50</f>
        <v>117</v>
      </c>
      <c r="AA50" s="2">
        <f>'Cleaned Data'!AA50</f>
        <v>124.2</v>
      </c>
      <c r="AB50" s="2">
        <f>'Cleaned Data'!AB50</f>
        <v>133.30000000000001</v>
      </c>
      <c r="AC50" s="2">
        <f>'Cleaned Data'!AC50</f>
        <v>121.7</v>
      </c>
      <c r="AD50" s="2">
        <f>'Cleaned Data'!AD50</f>
        <v>124.4</v>
      </c>
      <c r="AE50" s="2">
        <f>'Cleaned Data'!AE50</f>
        <v>130.30000000000001</v>
      </c>
    </row>
    <row r="51" spans="1:31" x14ac:dyDescent="0.25">
      <c r="A51" s="1">
        <f>'Cleaned Data'!A51</f>
        <v>42767</v>
      </c>
      <c r="B51" s="1" t="str">
        <f>'Cleaned Data'!B51</f>
        <v>Rural+Urban</v>
      </c>
      <c r="C51" s="2">
        <f>'Cleaned Data'!C51</f>
        <v>2017</v>
      </c>
      <c r="D51" s="1" t="str">
        <f>'Cleaned Data'!D51</f>
        <v>February</v>
      </c>
      <c r="E51" s="2">
        <f>'Cleaned Data'!E51</f>
        <v>133.1</v>
      </c>
      <c r="F51" s="2">
        <f>'Cleaned Data'!F51</f>
        <v>138.80000000000001</v>
      </c>
      <c r="G51" s="2">
        <f>'Cleaned Data'!G51</f>
        <v>129.30000000000001</v>
      </c>
      <c r="H51" s="2">
        <f>'Cleaned Data'!H51</f>
        <v>135.80000000000001</v>
      </c>
      <c r="I51" s="2">
        <f>'Cleaned Data'!I51</f>
        <v>119.2</v>
      </c>
      <c r="J51" s="2">
        <f>'Cleaned Data'!J51</f>
        <v>135.30000000000001</v>
      </c>
      <c r="K51" s="2">
        <f>'Cleaned Data'!K51</f>
        <v>119.5</v>
      </c>
      <c r="L51" s="2">
        <f>'Cleaned Data'!L51</f>
        <v>152.19999999999999</v>
      </c>
      <c r="M51" s="2">
        <f>'Cleaned Data'!M51</f>
        <v>117.3</v>
      </c>
      <c r="N51" s="2">
        <f>'Cleaned Data'!N51</f>
        <v>138.69999999999999</v>
      </c>
      <c r="O51" s="2">
        <f>'Cleaned Data'!O51</f>
        <v>126.9</v>
      </c>
      <c r="P51" s="2">
        <f>'Cleaned Data'!P51</f>
        <v>143.19999999999999</v>
      </c>
      <c r="Q51" s="2">
        <f>'Cleaned Data'!Q51</f>
        <v>133</v>
      </c>
      <c r="R51" s="2">
        <f>'Cleaned Data'!R51</f>
        <v>144.4</v>
      </c>
      <c r="S51" s="2">
        <f>'Cleaned Data'!S51</f>
        <v>136.80000000000001</v>
      </c>
      <c r="T51" s="2">
        <f>'Cleaned Data'!T51</f>
        <v>130.30000000000001</v>
      </c>
      <c r="U51" s="2">
        <f>'Cleaned Data'!U51</f>
        <v>135.9</v>
      </c>
      <c r="V51" s="2">
        <f>'Cleaned Data'!V51</f>
        <v>130.5</v>
      </c>
      <c r="W51" s="2">
        <f>'Cleaned Data'!W51</f>
        <v>127.9</v>
      </c>
      <c r="X51" s="2">
        <f>'Cleaned Data'!X51</f>
        <v>129.69999999999999</v>
      </c>
      <c r="Y51" s="2">
        <f>'Cleaned Data'!Y51</f>
        <v>127.4</v>
      </c>
      <c r="Z51" s="2">
        <f>'Cleaned Data'!Z51</f>
        <v>117.4</v>
      </c>
      <c r="AA51" s="2">
        <f>'Cleaned Data'!AA51</f>
        <v>124.6</v>
      </c>
      <c r="AB51" s="2">
        <f>'Cleaned Data'!AB51</f>
        <v>133.4</v>
      </c>
      <c r="AC51" s="2">
        <f>'Cleaned Data'!AC51</f>
        <v>122.6</v>
      </c>
      <c r="AD51" s="2">
        <f>'Cleaned Data'!AD51</f>
        <v>124.8</v>
      </c>
      <c r="AE51" s="2">
        <f>'Cleaned Data'!AE51</f>
        <v>130.6</v>
      </c>
    </row>
    <row r="52" spans="1:31" x14ac:dyDescent="0.25">
      <c r="A52" s="1">
        <f>'Cleaned Data'!A52</f>
        <v>42795</v>
      </c>
      <c r="B52" s="1" t="str">
        <f>'Cleaned Data'!B52</f>
        <v>Rural+Urban</v>
      </c>
      <c r="C52" s="2">
        <f>'Cleaned Data'!C52</f>
        <v>2017</v>
      </c>
      <c r="D52" s="1" t="str">
        <f>'Cleaned Data'!D52</f>
        <v>March</v>
      </c>
      <c r="E52" s="2">
        <f>'Cleaned Data'!E52</f>
        <v>133.30000000000001</v>
      </c>
      <c r="F52" s="2">
        <f>'Cleaned Data'!F52</f>
        <v>139</v>
      </c>
      <c r="G52" s="2">
        <f>'Cleaned Data'!G52</f>
        <v>128.6</v>
      </c>
      <c r="H52" s="2">
        <f>'Cleaned Data'!H52</f>
        <v>136.30000000000001</v>
      </c>
      <c r="I52" s="2">
        <f>'Cleaned Data'!I52</f>
        <v>118.8</v>
      </c>
      <c r="J52" s="2">
        <f>'Cleaned Data'!J52</f>
        <v>138.30000000000001</v>
      </c>
      <c r="K52" s="2">
        <f>'Cleaned Data'!K52</f>
        <v>120.5</v>
      </c>
      <c r="L52" s="2">
        <f>'Cleaned Data'!L52</f>
        <v>143.9</v>
      </c>
      <c r="M52" s="2">
        <f>'Cleaned Data'!M52</f>
        <v>118</v>
      </c>
      <c r="N52" s="2">
        <f>'Cleaned Data'!N52</f>
        <v>137.9</v>
      </c>
      <c r="O52" s="2">
        <f>'Cleaned Data'!O52</f>
        <v>127.2</v>
      </c>
      <c r="P52" s="2">
        <f>'Cleaned Data'!P52</f>
        <v>144</v>
      </c>
      <c r="Q52" s="2">
        <f>'Cleaned Data'!Q52</f>
        <v>133.1</v>
      </c>
      <c r="R52" s="2">
        <f>'Cleaned Data'!R52</f>
        <v>145.1</v>
      </c>
      <c r="S52" s="2">
        <f>'Cleaned Data'!S52</f>
        <v>137.30000000000001</v>
      </c>
      <c r="T52" s="2">
        <f>'Cleaned Data'!T52</f>
        <v>130.6</v>
      </c>
      <c r="U52" s="2">
        <f>'Cleaned Data'!U52</f>
        <v>136.4</v>
      </c>
      <c r="V52" s="2">
        <f>'Cleaned Data'!V52</f>
        <v>131.1</v>
      </c>
      <c r="W52" s="2">
        <f>'Cleaned Data'!W52</f>
        <v>129.1</v>
      </c>
      <c r="X52" s="2">
        <f>'Cleaned Data'!X52</f>
        <v>130.1</v>
      </c>
      <c r="Y52" s="2">
        <f>'Cleaned Data'!Y52</f>
        <v>127.8</v>
      </c>
      <c r="Z52" s="2">
        <f>'Cleaned Data'!Z52</f>
        <v>117.6</v>
      </c>
      <c r="AA52" s="2">
        <f>'Cleaned Data'!AA52</f>
        <v>125</v>
      </c>
      <c r="AB52" s="2">
        <f>'Cleaned Data'!AB52</f>
        <v>133.80000000000001</v>
      </c>
      <c r="AC52" s="2">
        <f>'Cleaned Data'!AC52</f>
        <v>122.6</v>
      </c>
      <c r="AD52" s="2">
        <f>'Cleaned Data'!AD52</f>
        <v>125.1</v>
      </c>
      <c r="AE52" s="2">
        <f>'Cleaned Data'!AE52</f>
        <v>130.9</v>
      </c>
    </row>
    <row r="53" spans="1:31" x14ac:dyDescent="0.25">
      <c r="A53" s="1">
        <f>'Cleaned Data'!A53</f>
        <v>42826</v>
      </c>
      <c r="B53" s="1" t="str">
        <f>'Cleaned Data'!B53</f>
        <v>Rural+Urban</v>
      </c>
      <c r="C53" s="2">
        <f>'Cleaned Data'!C53</f>
        <v>2017</v>
      </c>
      <c r="D53" s="1" t="str">
        <f>'Cleaned Data'!D53</f>
        <v>April</v>
      </c>
      <c r="E53" s="2">
        <f>'Cleaned Data'!E53</f>
        <v>133</v>
      </c>
      <c r="F53" s="2">
        <f>'Cleaned Data'!F53</f>
        <v>139.4</v>
      </c>
      <c r="G53" s="2">
        <f>'Cleaned Data'!G53</f>
        <v>126.1</v>
      </c>
      <c r="H53" s="2">
        <f>'Cleaned Data'!H53</f>
        <v>137.19999999999999</v>
      </c>
      <c r="I53" s="2">
        <f>'Cleaned Data'!I53</f>
        <v>118.4</v>
      </c>
      <c r="J53" s="2">
        <f>'Cleaned Data'!J53</f>
        <v>139.9</v>
      </c>
      <c r="K53" s="2">
        <f>'Cleaned Data'!K53</f>
        <v>123.4</v>
      </c>
      <c r="L53" s="2">
        <f>'Cleaned Data'!L53</f>
        <v>140.9</v>
      </c>
      <c r="M53" s="2">
        <f>'Cleaned Data'!M53</f>
        <v>118.5</v>
      </c>
      <c r="N53" s="2">
        <f>'Cleaned Data'!N53</f>
        <v>136.5</v>
      </c>
      <c r="O53" s="2">
        <f>'Cleaned Data'!O53</f>
        <v>127.4</v>
      </c>
      <c r="P53" s="2">
        <f>'Cleaned Data'!P53</f>
        <v>144.19999999999999</v>
      </c>
      <c r="Q53" s="2">
        <f>'Cleaned Data'!Q53</f>
        <v>133.5</v>
      </c>
      <c r="R53" s="2">
        <f>'Cleaned Data'!R53</f>
        <v>145.4</v>
      </c>
      <c r="S53" s="2">
        <f>'Cleaned Data'!S53</f>
        <v>138</v>
      </c>
      <c r="T53" s="2">
        <f>'Cleaned Data'!T53</f>
        <v>131.1</v>
      </c>
      <c r="U53" s="2">
        <f>'Cleaned Data'!U53</f>
        <v>137</v>
      </c>
      <c r="V53" s="2">
        <f>'Cleaned Data'!V53</f>
        <v>131.69999999999999</v>
      </c>
      <c r="W53" s="2">
        <f>'Cleaned Data'!W53</f>
        <v>129.80000000000001</v>
      </c>
      <c r="X53" s="2">
        <f>'Cleaned Data'!X53</f>
        <v>130.4</v>
      </c>
      <c r="Y53" s="2">
        <f>'Cleaned Data'!Y53</f>
        <v>128.1</v>
      </c>
      <c r="Z53" s="2">
        <f>'Cleaned Data'!Z53</f>
        <v>116.6</v>
      </c>
      <c r="AA53" s="2">
        <f>'Cleaned Data'!AA53</f>
        <v>125.1</v>
      </c>
      <c r="AB53" s="2">
        <f>'Cleaned Data'!AB53</f>
        <v>134.5</v>
      </c>
      <c r="AC53" s="2">
        <f>'Cleaned Data'!AC53</f>
        <v>123.1</v>
      </c>
      <c r="AD53" s="2">
        <f>'Cleaned Data'!AD53</f>
        <v>125.1</v>
      </c>
      <c r="AE53" s="2">
        <f>'Cleaned Data'!AE53</f>
        <v>131.1</v>
      </c>
    </row>
    <row r="54" spans="1:31" x14ac:dyDescent="0.25">
      <c r="A54" s="1">
        <f>'Cleaned Data'!A54</f>
        <v>42856</v>
      </c>
      <c r="B54" s="1" t="str">
        <f>'Cleaned Data'!B54</f>
        <v>Rural+Urban</v>
      </c>
      <c r="C54" s="2">
        <f>'Cleaned Data'!C54</f>
        <v>2017</v>
      </c>
      <c r="D54" s="1" t="str">
        <f>'Cleaned Data'!D54</f>
        <v>May</v>
      </c>
      <c r="E54" s="2">
        <f>'Cleaned Data'!E54</f>
        <v>132.9</v>
      </c>
      <c r="F54" s="2">
        <f>'Cleaned Data'!F54</f>
        <v>141.6</v>
      </c>
      <c r="G54" s="2">
        <f>'Cleaned Data'!G54</f>
        <v>126.3</v>
      </c>
      <c r="H54" s="2">
        <f>'Cleaned Data'!H54</f>
        <v>137.69999999999999</v>
      </c>
      <c r="I54" s="2">
        <f>'Cleaned Data'!I54</f>
        <v>118.1</v>
      </c>
      <c r="J54" s="2">
        <f>'Cleaned Data'!J54</f>
        <v>137.9</v>
      </c>
      <c r="K54" s="2">
        <f>'Cleaned Data'!K54</f>
        <v>125.6</v>
      </c>
      <c r="L54" s="2">
        <f>'Cleaned Data'!L54</f>
        <v>138.30000000000001</v>
      </c>
      <c r="M54" s="2">
        <f>'Cleaned Data'!M54</f>
        <v>119.4</v>
      </c>
      <c r="N54" s="2">
        <f>'Cleaned Data'!N54</f>
        <v>136</v>
      </c>
      <c r="O54" s="2">
        <f>'Cleaned Data'!O54</f>
        <v>127.6</v>
      </c>
      <c r="P54" s="2">
        <f>'Cleaned Data'!P54</f>
        <v>144.5</v>
      </c>
      <c r="Q54" s="2">
        <f>'Cleaned Data'!Q54</f>
        <v>133.69999999999999</v>
      </c>
      <c r="R54" s="2">
        <f>'Cleaned Data'!R54</f>
        <v>146.19999999999999</v>
      </c>
      <c r="S54" s="2">
        <f>'Cleaned Data'!S54</f>
        <v>138.19999999999999</v>
      </c>
      <c r="T54" s="2">
        <f>'Cleaned Data'!T54</f>
        <v>131.4</v>
      </c>
      <c r="U54" s="2">
        <f>'Cleaned Data'!U54</f>
        <v>137.19999999999999</v>
      </c>
      <c r="V54" s="2">
        <f>'Cleaned Data'!V54</f>
        <v>132.1</v>
      </c>
      <c r="W54" s="2">
        <f>'Cleaned Data'!W54</f>
        <v>129.4</v>
      </c>
      <c r="X54" s="2">
        <f>'Cleaned Data'!X54</f>
        <v>130.9</v>
      </c>
      <c r="Y54" s="2">
        <f>'Cleaned Data'!Y54</f>
        <v>128.4</v>
      </c>
      <c r="Z54" s="2">
        <f>'Cleaned Data'!Z54</f>
        <v>116.7</v>
      </c>
      <c r="AA54" s="2">
        <f>'Cleaned Data'!AA54</f>
        <v>125.7</v>
      </c>
      <c r="AB54" s="2">
        <f>'Cleaned Data'!AB54</f>
        <v>134.80000000000001</v>
      </c>
      <c r="AC54" s="2">
        <f>'Cleaned Data'!AC54</f>
        <v>123</v>
      </c>
      <c r="AD54" s="2">
        <f>'Cleaned Data'!AD54</f>
        <v>125.3</v>
      </c>
      <c r="AE54" s="2">
        <f>'Cleaned Data'!AE54</f>
        <v>131.4</v>
      </c>
    </row>
    <row r="55" spans="1:31" x14ac:dyDescent="0.25">
      <c r="A55" s="1">
        <f>'Cleaned Data'!A55</f>
        <v>42887</v>
      </c>
      <c r="B55" s="1" t="str">
        <f>'Cleaned Data'!B55</f>
        <v>Rural+Urban</v>
      </c>
      <c r="C55" s="2">
        <f>'Cleaned Data'!C55</f>
        <v>2017</v>
      </c>
      <c r="D55" s="1" t="str">
        <f>'Cleaned Data'!D55</f>
        <v>June</v>
      </c>
      <c r="E55" s="2">
        <f>'Cleaned Data'!E55</f>
        <v>133.30000000000001</v>
      </c>
      <c r="F55" s="2">
        <f>'Cleaned Data'!F55</f>
        <v>145.5</v>
      </c>
      <c r="G55" s="2">
        <f>'Cleaned Data'!G55</f>
        <v>128.1</v>
      </c>
      <c r="H55" s="2">
        <f>'Cleaned Data'!H55</f>
        <v>138.1</v>
      </c>
      <c r="I55" s="2">
        <f>'Cleaned Data'!I55</f>
        <v>118.2</v>
      </c>
      <c r="J55" s="2">
        <f>'Cleaned Data'!J55</f>
        <v>139.19999999999999</v>
      </c>
      <c r="K55" s="2">
        <f>'Cleaned Data'!K55</f>
        <v>133.30000000000001</v>
      </c>
      <c r="L55" s="2">
        <f>'Cleaned Data'!L55</f>
        <v>136.19999999999999</v>
      </c>
      <c r="M55" s="2">
        <f>'Cleaned Data'!M55</f>
        <v>119.6</v>
      </c>
      <c r="N55" s="2">
        <f>'Cleaned Data'!N55</f>
        <v>135.30000000000001</v>
      </c>
      <c r="O55" s="2">
        <f>'Cleaned Data'!O55</f>
        <v>127.8</v>
      </c>
      <c r="P55" s="2">
        <f>'Cleaned Data'!P55</f>
        <v>144.9</v>
      </c>
      <c r="Q55" s="2">
        <f>'Cleaned Data'!Q55</f>
        <v>135.19999999999999</v>
      </c>
      <c r="R55" s="2">
        <f>'Cleaned Data'!R55</f>
        <v>146.5</v>
      </c>
      <c r="S55" s="2">
        <f>'Cleaned Data'!S55</f>
        <v>138.5</v>
      </c>
      <c r="T55" s="2">
        <f>'Cleaned Data'!T55</f>
        <v>131.69999999999999</v>
      </c>
      <c r="U55" s="2">
        <f>'Cleaned Data'!U55</f>
        <v>137.5</v>
      </c>
      <c r="V55" s="2">
        <f>'Cleaned Data'!V55</f>
        <v>131.4</v>
      </c>
      <c r="W55" s="2">
        <f>'Cleaned Data'!W55</f>
        <v>128.80000000000001</v>
      </c>
      <c r="X55" s="2">
        <f>'Cleaned Data'!X55</f>
        <v>131.19999999999999</v>
      </c>
      <c r="Y55" s="2">
        <f>'Cleaned Data'!Y55</f>
        <v>128.5</v>
      </c>
      <c r="Z55" s="2">
        <f>'Cleaned Data'!Z55</f>
        <v>116.5</v>
      </c>
      <c r="AA55" s="2">
        <f>'Cleaned Data'!AA55</f>
        <v>125.9</v>
      </c>
      <c r="AB55" s="2">
        <f>'Cleaned Data'!AB55</f>
        <v>135.4</v>
      </c>
      <c r="AC55" s="2">
        <f>'Cleaned Data'!AC55</f>
        <v>123.4</v>
      </c>
      <c r="AD55" s="2">
        <f>'Cleaned Data'!AD55</f>
        <v>125.5</v>
      </c>
      <c r="AE55" s="2">
        <f>'Cleaned Data'!AE55</f>
        <v>132</v>
      </c>
    </row>
    <row r="56" spans="1:31" x14ac:dyDescent="0.25">
      <c r="A56" s="1">
        <f>'Cleaned Data'!A56</f>
        <v>42917</v>
      </c>
      <c r="B56" s="1" t="str">
        <f>'Cleaned Data'!B56</f>
        <v>Rural+Urban</v>
      </c>
      <c r="C56" s="2">
        <f>'Cleaned Data'!C56</f>
        <v>2017</v>
      </c>
      <c r="D56" s="1" t="str">
        <f>'Cleaned Data'!D56</f>
        <v>July</v>
      </c>
      <c r="E56" s="2">
        <f>'Cleaned Data'!E56</f>
        <v>133.6</v>
      </c>
      <c r="F56" s="2">
        <f>'Cleaned Data'!F56</f>
        <v>145.69999999999999</v>
      </c>
      <c r="G56" s="2">
        <f>'Cleaned Data'!G56</f>
        <v>129.6</v>
      </c>
      <c r="H56" s="2">
        <f>'Cleaned Data'!H56</f>
        <v>138.5</v>
      </c>
      <c r="I56" s="2">
        <f>'Cleaned Data'!I56</f>
        <v>118.1</v>
      </c>
      <c r="J56" s="2">
        <f>'Cleaned Data'!J56</f>
        <v>141.80000000000001</v>
      </c>
      <c r="K56" s="2">
        <f>'Cleaned Data'!K56</f>
        <v>159.5</v>
      </c>
      <c r="L56" s="2">
        <f>'Cleaned Data'!L56</f>
        <v>133.6</v>
      </c>
      <c r="M56" s="2">
        <f>'Cleaned Data'!M56</f>
        <v>120.5</v>
      </c>
      <c r="N56" s="2">
        <f>'Cleaned Data'!N56</f>
        <v>135.19999999999999</v>
      </c>
      <c r="O56" s="2">
        <f>'Cleaned Data'!O56</f>
        <v>128.5</v>
      </c>
      <c r="P56" s="2">
        <f>'Cleaned Data'!P56</f>
        <v>145.80000000000001</v>
      </c>
      <c r="Q56" s="2">
        <f>'Cleaned Data'!Q56</f>
        <v>139</v>
      </c>
      <c r="R56" s="2">
        <f>'Cleaned Data'!R56</f>
        <v>148.19999999999999</v>
      </c>
      <c r="S56" s="2">
        <f>'Cleaned Data'!S56</f>
        <v>139.30000000000001</v>
      </c>
      <c r="T56" s="2">
        <f>'Cleaned Data'!T56</f>
        <v>132.1</v>
      </c>
      <c r="U56" s="2">
        <f>'Cleaned Data'!U56</f>
        <v>138.30000000000001</v>
      </c>
      <c r="V56" s="2">
        <f>'Cleaned Data'!V56</f>
        <v>132.6</v>
      </c>
      <c r="W56" s="2">
        <f>'Cleaned Data'!W56</f>
        <v>129.4</v>
      </c>
      <c r="X56" s="2">
        <f>'Cleaned Data'!X56</f>
        <v>131.9</v>
      </c>
      <c r="Y56" s="2">
        <f>'Cleaned Data'!Y56</f>
        <v>129.4</v>
      </c>
      <c r="Z56" s="2">
        <f>'Cleaned Data'!Z56</f>
        <v>116</v>
      </c>
      <c r="AA56" s="2">
        <f>'Cleaned Data'!AA56</f>
        <v>126.6</v>
      </c>
      <c r="AB56" s="2">
        <f>'Cleaned Data'!AB56</f>
        <v>136.80000000000001</v>
      </c>
      <c r="AC56" s="2">
        <f>'Cleaned Data'!AC56</f>
        <v>123.6</v>
      </c>
      <c r="AD56" s="2">
        <f>'Cleaned Data'!AD56</f>
        <v>125.9</v>
      </c>
      <c r="AE56" s="2">
        <f>'Cleaned Data'!AE56</f>
        <v>134.19999999999999</v>
      </c>
    </row>
    <row r="57" spans="1:31" x14ac:dyDescent="0.25">
      <c r="A57" s="1">
        <f>'Cleaned Data'!A57</f>
        <v>42948</v>
      </c>
      <c r="B57" s="1" t="str">
        <f>'Cleaned Data'!B57</f>
        <v>Rural+Urban</v>
      </c>
      <c r="C57" s="2">
        <f>'Cleaned Data'!C57</f>
        <v>2017</v>
      </c>
      <c r="D57" s="1" t="str">
        <f>'Cleaned Data'!D57</f>
        <v>August</v>
      </c>
      <c r="E57" s="2">
        <f>'Cleaned Data'!E57</f>
        <v>134.30000000000001</v>
      </c>
      <c r="F57" s="2">
        <f>'Cleaned Data'!F57</f>
        <v>143.4</v>
      </c>
      <c r="G57" s="2">
        <f>'Cleaned Data'!G57</f>
        <v>129.30000000000001</v>
      </c>
      <c r="H57" s="2">
        <f>'Cleaned Data'!H57</f>
        <v>139</v>
      </c>
      <c r="I57" s="2">
        <f>'Cleaned Data'!I57</f>
        <v>118.1</v>
      </c>
      <c r="J57" s="2">
        <f>'Cleaned Data'!J57</f>
        <v>145.5</v>
      </c>
      <c r="K57" s="2">
        <f>'Cleaned Data'!K57</f>
        <v>168.6</v>
      </c>
      <c r="L57" s="2">
        <f>'Cleaned Data'!L57</f>
        <v>132.69999999999999</v>
      </c>
      <c r="M57" s="2">
        <f>'Cleaned Data'!M57</f>
        <v>121.2</v>
      </c>
      <c r="N57" s="2">
        <f>'Cleaned Data'!N57</f>
        <v>135.6</v>
      </c>
      <c r="O57" s="2">
        <f>'Cleaned Data'!O57</f>
        <v>128.69999999999999</v>
      </c>
      <c r="P57" s="2">
        <f>'Cleaned Data'!P57</f>
        <v>146.80000000000001</v>
      </c>
      <c r="Q57" s="2">
        <f>'Cleaned Data'!Q57</f>
        <v>140.6</v>
      </c>
      <c r="R57" s="2">
        <f>'Cleaned Data'!R57</f>
        <v>149.80000000000001</v>
      </c>
      <c r="S57" s="2">
        <f>'Cleaned Data'!S57</f>
        <v>140.30000000000001</v>
      </c>
      <c r="T57" s="2">
        <f>'Cleaned Data'!T57</f>
        <v>133</v>
      </c>
      <c r="U57" s="2">
        <f>'Cleaned Data'!U57</f>
        <v>139.30000000000001</v>
      </c>
      <c r="V57" s="2">
        <f>'Cleaned Data'!V57</f>
        <v>134.4</v>
      </c>
      <c r="W57" s="2">
        <f>'Cleaned Data'!W57</f>
        <v>129.80000000000001</v>
      </c>
      <c r="X57" s="2">
        <f>'Cleaned Data'!X57</f>
        <v>132.80000000000001</v>
      </c>
      <c r="Y57" s="2">
        <f>'Cleaned Data'!Y57</f>
        <v>130.19999999999999</v>
      </c>
      <c r="Z57" s="2">
        <f>'Cleaned Data'!Z57</f>
        <v>117.3</v>
      </c>
      <c r="AA57" s="2">
        <f>'Cleaned Data'!AA57</f>
        <v>127.3</v>
      </c>
      <c r="AB57" s="2">
        <f>'Cleaned Data'!AB57</f>
        <v>137.6</v>
      </c>
      <c r="AC57" s="2">
        <f>'Cleaned Data'!AC57</f>
        <v>124.5</v>
      </c>
      <c r="AD57" s="2">
        <f>'Cleaned Data'!AD57</f>
        <v>126.8</v>
      </c>
      <c r="AE57" s="2">
        <f>'Cleaned Data'!AE57</f>
        <v>135.4</v>
      </c>
    </row>
    <row r="58" spans="1:31" x14ac:dyDescent="0.25">
      <c r="A58" s="1">
        <f>'Cleaned Data'!A58</f>
        <v>42979</v>
      </c>
      <c r="B58" s="1" t="str">
        <f>'Cleaned Data'!B58</f>
        <v>Rural+Urban</v>
      </c>
      <c r="C58" s="2">
        <f>'Cleaned Data'!C58</f>
        <v>2017</v>
      </c>
      <c r="D58" s="1" t="str">
        <f>'Cleaned Data'!D58</f>
        <v>September</v>
      </c>
      <c r="E58" s="2">
        <f>'Cleaned Data'!E58</f>
        <v>134.69999999999999</v>
      </c>
      <c r="F58" s="2">
        <f>'Cleaned Data'!F58</f>
        <v>142.4</v>
      </c>
      <c r="G58" s="2">
        <f>'Cleaned Data'!G58</f>
        <v>130.19999999999999</v>
      </c>
      <c r="H58" s="2">
        <f>'Cleaned Data'!H58</f>
        <v>139.6</v>
      </c>
      <c r="I58" s="2">
        <f>'Cleaned Data'!I58</f>
        <v>118.4</v>
      </c>
      <c r="J58" s="2">
        <f>'Cleaned Data'!J58</f>
        <v>143</v>
      </c>
      <c r="K58" s="2">
        <f>'Cleaned Data'!K58</f>
        <v>156.6</v>
      </c>
      <c r="L58" s="2">
        <f>'Cleaned Data'!L58</f>
        <v>132.9</v>
      </c>
      <c r="M58" s="2">
        <f>'Cleaned Data'!M58</f>
        <v>121.5</v>
      </c>
      <c r="N58" s="2">
        <f>'Cleaned Data'!N58</f>
        <v>135.6</v>
      </c>
      <c r="O58" s="2">
        <f>'Cleaned Data'!O58</f>
        <v>128.80000000000001</v>
      </c>
      <c r="P58" s="2">
        <f>'Cleaned Data'!P58</f>
        <v>147.30000000000001</v>
      </c>
      <c r="Q58" s="2">
        <f>'Cleaned Data'!Q58</f>
        <v>139</v>
      </c>
      <c r="R58" s="2">
        <f>'Cleaned Data'!R58</f>
        <v>150.80000000000001</v>
      </c>
      <c r="S58" s="2">
        <f>'Cleaned Data'!S58</f>
        <v>141.1</v>
      </c>
      <c r="T58" s="2">
        <f>'Cleaned Data'!T58</f>
        <v>133.4</v>
      </c>
      <c r="U58" s="2">
        <f>'Cleaned Data'!U58</f>
        <v>140</v>
      </c>
      <c r="V58" s="2">
        <f>'Cleaned Data'!V58</f>
        <v>135.69999999999999</v>
      </c>
      <c r="W58" s="2">
        <f>'Cleaned Data'!W58</f>
        <v>131</v>
      </c>
      <c r="X58" s="2">
        <f>'Cleaned Data'!X58</f>
        <v>133.30000000000001</v>
      </c>
      <c r="Y58" s="2">
        <f>'Cleaned Data'!Y58</f>
        <v>130.6</v>
      </c>
      <c r="Z58" s="2">
        <f>'Cleaned Data'!Z58</f>
        <v>118.3</v>
      </c>
      <c r="AA58" s="2">
        <f>'Cleaned Data'!AA58</f>
        <v>127.9</v>
      </c>
      <c r="AB58" s="2">
        <f>'Cleaned Data'!AB58</f>
        <v>137.4</v>
      </c>
      <c r="AC58" s="2">
        <f>'Cleaned Data'!AC58</f>
        <v>125.7</v>
      </c>
      <c r="AD58" s="2">
        <f>'Cleaned Data'!AD58</f>
        <v>127.5</v>
      </c>
      <c r="AE58" s="2">
        <f>'Cleaned Data'!AE58</f>
        <v>135.19999999999999</v>
      </c>
    </row>
    <row r="59" spans="1:31" x14ac:dyDescent="0.25">
      <c r="A59" s="1">
        <f>'Cleaned Data'!A59</f>
        <v>43009</v>
      </c>
      <c r="B59" s="1" t="str">
        <f>'Cleaned Data'!B59</f>
        <v>Rural+Urban</v>
      </c>
      <c r="C59" s="2">
        <f>'Cleaned Data'!C59</f>
        <v>2017</v>
      </c>
      <c r="D59" s="1" t="str">
        <f>'Cleaned Data'!D59</f>
        <v>October</v>
      </c>
      <c r="E59" s="2">
        <f>'Cleaned Data'!E59</f>
        <v>135.30000000000001</v>
      </c>
      <c r="F59" s="2">
        <f>'Cleaned Data'!F59</f>
        <v>142.19999999999999</v>
      </c>
      <c r="G59" s="2">
        <f>'Cleaned Data'!G59</f>
        <v>131.19999999999999</v>
      </c>
      <c r="H59" s="2">
        <f>'Cleaned Data'!H59</f>
        <v>140.6</v>
      </c>
      <c r="I59" s="2">
        <f>'Cleaned Data'!I59</f>
        <v>119</v>
      </c>
      <c r="J59" s="2">
        <f>'Cleaned Data'!J59</f>
        <v>141.5</v>
      </c>
      <c r="K59" s="2">
        <f>'Cleaned Data'!K59</f>
        <v>162.6</v>
      </c>
      <c r="L59" s="2">
        <f>'Cleaned Data'!L59</f>
        <v>132.30000000000001</v>
      </c>
      <c r="M59" s="2">
        <f>'Cleaned Data'!M59</f>
        <v>121.8</v>
      </c>
      <c r="N59" s="2">
        <f>'Cleaned Data'!N59</f>
        <v>136.30000000000001</v>
      </c>
      <c r="O59" s="2">
        <f>'Cleaned Data'!O59</f>
        <v>128.69999999999999</v>
      </c>
      <c r="P59" s="2">
        <f>'Cleaned Data'!P59</f>
        <v>148.1</v>
      </c>
      <c r="Q59" s="2">
        <f>'Cleaned Data'!Q59</f>
        <v>140.1</v>
      </c>
      <c r="R59" s="2">
        <f>'Cleaned Data'!R59</f>
        <v>151.6</v>
      </c>
      <c r="S59" s="2">
        <f>'Cleaned Data'!S59</f>
        <v>142</v>
      </c>
      <c r="T59" s="2">
        <f>'Cleaned Data'!T59</f>
        <v>134.1</v>
      </c>
      <c r="U59" s="2">
        <f>'Cleaned Data'!U59</f>
        <v>140.80000000000001</v>
      </c>
      <c r="V59" s="2">
        <f>'Cleaned Data'!V59</f>
        <v>137.30000000000001</v>
      </c>
      <c r="W59" s="2">
        <f>'Cleaned Data'!W59</f>
        <v>132.19999999999999</v>
      </c>
      <c r="X59" s="2">
        <f>'Cleaned Data'!X59</f>
        <v>133.6</v>
      </c>
      <c r="Y59" s="2">
        <f>'Cleaned Data'!Y59</f>
        <v>131.30000000000001</v>
      </c>
      <c r="Z59" s="2">
        <f>'Cleaned Data'!Z59</f>
        <v>117.8</v>
      </c>
      <c r="AA59" s="2">
        <f>'Cleaned Data'!AA59</f>
        <v>128.4</v>
      </c>
      <c r="AB59" s="2">
        <f>'Cleaned Data'!AB59</f>
        <v>137.9</v>
      </c>
      <c r="AC59" s="2">
        <f>'Cleaned Data'!AC59</f>
        <v>126.2</v>
      </c>
      <c r="AD59" s="2">
        <f>'Cleaned Data'!AD59</f>
        <v>127.7</v>
      </c>
      <c r="AE59" s="2">
        <f>'Cleaned Data'!AE59</f>
        <v>136.1</v>
      </c>
    </row>
    <row r="60" spans="1:31" x14ac:dyDescent="0.25">
      <c r="A60" s="1">
        <f>'Cleaned Data'!A60</f>
        <v>43040</v>
      </c>
      <c r="B60" s="1" t="str">
        <f>'Cleaned Data'!B60</f>
        <v>Rural+Urban</v>
      </c>
      <c r="C60" s="2">
        <f>'Cleaned Data'!C60</f>
        <v>2017</v>
      </c>
      <c r="D60" s="1" t="str">
        <f>'Cleaned Data'!D60</f>
        <v>November</v>
      </c>
      <c r="E60" s="2">
        <f>'Cleaned Data'!E60</f>
        <v>135.69999999999999</v>
      </c>
      <c r="F60" s="2">
        <f>'Cleaned Data'!F60</f>
        <v>142.4</v>
      </c>
      <c r="G60" s="2">
        <f>'Cleaned Data'!G60</f>
        <v>142.9</v>
      </c>
      <c r="H60" s="2">
        <f>'Cleaned Data'!H60</f>
        <v>140.80000000000001</v>
      </c>
      <c r="I60" s="2">
        <f>'Cleaned Data'!I60</f>
        <v>119.2</v>
      </c>
      <c r="J60" s="2">
        <f>'Cleaned Data'!J60</f>
        <v>142.19999999999999</v>
      </c>
      <c r="K60" s="2">
        <f>'Cleaned Data'!K60</f>
        <v>173.8</v>
      </c>
      <c r="L60" s="2">
        <f>'Cleaned Data'!L60</f>
        <v>131.19999999999999</v>
      </c>
      <c r="M60" s="2">
        <f>'Cleaned Data'!M60</f>
        <v>123</v>
      </c>
      <c r="N60" s="2">
        <f>'Cleaned Data'!N60</f>
        <v>136.80000000000001</v>
      </c>
      <c r="O60" s="2">
        <f>'Cleaned Data'!O60</f>
        <v>129.19999999999999</v>
      </c>
      <c r="P60" s="2">
        <f>'Cleaned Data'!P60</f>
        <v>148.9</v>
      </c>
      <c r="Q60" s="2">
        <f>'Cleaned Data'!Q60</f>
        <v>142.1</v>
      </c>
      <c r="R60" s="2">
        <f>'Cleaned Data'!R60</f>
        <v>153.19999999999999</v>
      </c>
      <c r="S60" s="2">
        <f>'Cleaned Data'!S60</f>
        <v>143</v>
      </c>
      <c r="T60" s="2">
        <f>'Cleaned Data'!T60</f>
        <v>134.80000000000001</v>
      </c>
      <c r="U60" s="2">
        <f>'Cleaned Data'!U60</f>
        <v>141.80000000000001</v>
      </c>
      <c r="V60" s="2">
        <f>'Cleaned Data'!V60</f>
        <v>138.6</v>
      </c>
      <c r="W60" s="2">
        <f>'Cleaned Data'!W60</f>
        <v>135.30000000000001</v>
      </c>
      <c r="X60" s="2">
        <f>'Cleaned Data'!X60</f>
        <v>134.4</v>
      </c>
      <c r="Y60" s="2">
        <f>'Cleaned Data'!Y60</f>
        <v>132.6</v>
      </c>
      <c r="Z60" s="2">
        <f>'Cleaned Data'!Z60</f>
        <v>118.3</v>
      </c>
      <c r="AA60" s="2">
        <f>'Cleaned Data'!AA60</f>
        <v>128.9</v>
      </c>
      <c r="AB60" s="2">
        <f>'Cleaned Data'!AB60</f>
        <v>138.6</v>
      </c>
      <c r="AC60" s="2">
        <f>'Cleaned Data'!AC60</f>
        <v>126.8</v>
      </c>
      <c r="AD60" s="2">
        <f>'Cleaned Data'!AD60</f>
        <v>128.4</v>
      </c>
      <c r="AE60" s="2">
        <f>'Cleaned Data'!AE60</f>
        <v>137.6</v>
      </c>
    </row>
    <row r="61" spans="1:31" x14ac:dyDescent="0.25">
      <c r="A61" s="1">
        <f>'Cleaned Data'!A61</f>
        <v>43070</v>
      </c>
      <c r="B61" s="1" t="str">
        <f>'Cleaned Data'!B61</f>
        <v>Rural+Urban</v>
      </c>
      <c r="C61" s="2">
        <f>'Cleaned Data'!C61</f>
        <v>2017</v>
      </c>
      <c r="D61" s="1" t="str">
        <f>'Cleaned Data'!D61</f>
        <v>December</v>
      </c>
      <c r="E61" s="2">
        <f>'Cleaned Data'!E61</f>
        <v>135.80000000000001</v>
      </c>
      <c r="F61" s="2">
        <f>'Cleaned Data'!F61</f>
        <v>143.30000000000001</v>
      </c>
      <c r="G61" s="2">
        <f>'Cleaned Data'!G61</f>
        <v>145.19999999999999</v>
      </c>
      <c r="H61" s="2">
        <f>'Cleaned Data'!H61</f>
        <v>141</v>
      </c>
      <c r="I61" s="2">
        <f>'Cleaned Data'!I61</f>
        <v>120.5</v>
      </c>
      <c r="J61" s="2">
        <f>'Cleaned Data'!J61</f>
        <v>141.5</v>
      </c>
      <c r="K61" s="2">
        <f>'Cleaned Data'!K61</f>
        <v>161.69999999999999</v>
      </c>
      <c r="L61" s="2">
        <f>'Cleaned Data'!L61</f>
        <v>129.1</v>
      </c>
      <c r="M61" s="2">
        <f>'Cleaned Data'!M61</f>
        <v>121.5</v>
      </c>
      <c r="N61" s="2">
        <f>'Cleaned Data'!N61</f>
        <v>137.1</v>
      </c>
      <c r="O61" s="2">
        <f>'Cleaned Data'!O61</f>
        <v>128.80000000000001</v>
      </c>
      <c r="P61" s="2">
        <f>'Cleaned Data'!P61</f>
        <v>149</v>
      </c>
      <c r="Q61" s="2">
        <f>'Cleaned Data'!Q61</f>
        <v>140.5</v>
      </c>
      <c r="R61" s="2">
        <f>'Cleaned Data'!R61</f>
        <v>154.19999999999999</v>
      </c>
      <c r="S61" s="2">
        <f>'Cleaned Data'!S61</f>
        <v>143.1</v>
      </c>
      <c r="T61" s="2">
        <f>'Cleaned Data'!T61</f>
        <v>135.1</v>
      </c>
      <c r="U61" s="2">
        <f>'Cleaned Data'!U61</f>
        <v>142</v>
      </c>
      <c r="V61" s="2">
        <f>'Cleaned Data'!V61</f>
        <v>139.1</v>
      </c>
      <c r="W61" s="2">
        <f>'Cleaned Data'!W61</f>
        <v>136.6</v>
      </c>
      <c r="X61" s="2">
        <f>'Cleaned Data'!X61</f>
        <v>134.69999999999999</v>
      </c>
      <c r="Y61" s="2">
        <f>'Cleaned Data'!Y61</f>
        <v>133.1</v>
      </c>
      <c r="Z61" s="2">
        <f>'Cleaned Data'!Z61</f>
        <v>118.5</v>
      </c>
      <c r="AA61" s="2">
        <f>'Cleaned Data'!AA61</f>
        <v>129</v>
      </c>
      <c r="AB61" s="2">
        <f>'Cleaned Data'!AB61</f>
        <v>138.5</v>
      </c>
      <c r="AC61" s="2">
        <f>'Cleaned Data'!AC61</f>
        <v>126.5</v>
      </c>
      <c r="AD61" s="2">
        <f>'Cleaned Data'!AD61</f>
        <v>128.6</v>
      </c>
      <c r="AE61" s="2">
        <f>'Cleaned Data'!AE61</f>
        <v>137.19999999999999</v>
      </c>
    </row>
    <row r="62" spans="1:31" x14ac:dyDescent="0.25">
      <c r="A62" s="1">
        <f>'Cleaned Data'!A62</f>
        <v>43101</v>
      </c>
      <c r="B62" s="1" t="str">
        <f>'Cleaned Data'!B62</f>
        <v>Rural+Urban</v>
      </c>
      <c r="C62" s="2">
        <f>'Cleaned Data'!C62</f>
        <v>2018</v>
      </c>
      <c r="D62" s="1" t="str">
        <f>'Cleaned Data'!D62</f>
        <v>January</v>
      </c>
      <c r="E62" s="2">
        <f>'Cleaned Data'!E62</f>
        <v>136</v>
      </c>
      <c r="F62" s="2">
        <f>'Cleaned Data'!F62</f>
        <v>144.19999999999999</v>
      </c>
      <c r="G62" s="2">
        <f>'Cleaned Data'!G62</f>
        <v>143.69999999999999</v>
      </c>
      <c r="H62" s="2">
        <f>'Cleaned Data'!H62</f>
        <v>141.1</v>
      </c>
      <c r="I62" s="2">
        <f>'Cleaned Data'!I62</f>
        <v>120.7</v>
      </c>
      <c r="J62" s="2">
        <f>'Cleaned Data'!J62</f>
        <v>141.30000000000001</v>
      </c>
      <c r="K62" s="2">
        <f>'Cleaned Data'!K62</f>
        <v>151.6</v>
      </c>
      <c r="L62" s="2">
        <f>'Cleaned Data'!L62</f>
        <v>127.3</v>
      </c>
      <c r="M62" s="2">
        <f>'Cleaned Data'!M62</f>
        <v>118.8</v>
      </c>
      <c r="N62" s="2">
        <f>'Cleaned Data'!N62</f>
        <v>137.5</v>
      </c>
      <c r="O62" s="2">
        <f>'Cleaned Data'!O62</f>
        <v>129</v>
      </c>
      <c r="P62" s="2">
        <f>'Cleaned Data'!P62</f>
        <v>149.5</v>
      </c>
      <c r="Q62" s="2">
        <f>'Cleaned Data'!Q62</f>
        <v>139.19999999999999</v>
      </c>
      <c r="R62" s="2">
        <f>'Cleaned Data'!R62</f>
        <v>154.69999999999999</v>
      </c>
      <c r="S62" s="2">
        <f>'Cleaned Data'!S62</f>
        <v>143.5</v>
      </c>
      <c r="T62" s="2">
        <f>'Cleaned Data'!T62</f>
        <v>135.5</v>
      </c>
      <c r="U62" s="2">
        <f>'Cleaned Data'!U62</f>
        <v>142.30000000000001</v>
      </c>
      <c r="V62" s="2">
        <f>'Cleaned Data'!V62</f>
        <v>140.4</v>
      </c>
      <c r="W62" s="2">
        <f>'Cleaned Data'!W62</f>
        <v>136.6</v>
      </c>
      <c r="X62" s="2">
        <f>'Cleaned Data'!X62</f>
        <v>134.9</v>
      </c>
      <c r="Y62" s="2">
        <f>'Cleaned Data'!Y62</f>
        <v>133.30000000000001</v>
      </c>
      <c r="Z62" s="2">
        <f>'Cleaned Data'!Z62</f>
        <v>119.3</v>
      </c>
      <c r="AA62" s="2">
        <f>'Cleaned Data'!AA62</f>
        <v>129.69999999999999</v>
      </c>
      <c r="AB62" s="2">
        <f>'Cleaned Data'!AB62</f>
        <v>139</v>
      </c>
      <c r="AC62" s="2">
        <f>'Cleaned Data'!AC62</f>
        <v>127.3</v>
      </c>
      <c r="AD62" s="2">
        <f>'Cleaned Data'!AD62</f>
        <v>129.1</v>
      </c>
      <c r="AE62" s="2">
        <f>'Cleaned Data'!AE62</f>
        <v>136.9</v>
      </c>
    </row>
    <row r="63" spans="1:31" x14ac:dyDescent="0.25">
      <c r="A63" s="1">
        <f>'Cleaned Data'!A63</f>
        <v>43132</v>
      </c>
      <c r="B63" s="1" t="str">
        <f>'Cleaned Data'!B63</f>
        <v>Rural+Urban</v>
      </c>
      <c r="C63" s="2">
        <f>'Cleaned Data'!C63</f>
        <v>2018</v>
      </c>
      <c r="D63" s="1" t="str">
        <f>'Cleaned Data'!D63</f>
        <v>February</v>
      </c>
      <c r="E63" s="2">
        <f>'Cleaned Data'!E63</f>
        <v>135.9</v>
      </c>
      <c r="F63" s="2">
        <f>'Cleaned Data'!F63</f>
        <v>143.5</v>
      </c>
      <c r="G63" s="2">
        <f>'Cleaned Data'!G63</f>
        <v>140.30000000000001</v>
      </c>
      <c r="H63" s="2">
        <f>'Cleaned Data'!H63</f>
        <v>140.9</v>
      </c>
      <c r="I63" s="2">
        <f>'Cleaned Data'!I63</f>
        <v>120.4</v>
      </c>
      <c r="J63" s="2">
        <f>'Cleaned Data'!J63</f>
        <v>142.9</v>
      </c>
      <c r="K63" s="2">
        <f>'Cleaned Data'!K63</f>
        <v>140.5</v>
      </c>
      <c r="L63" s="2">
        <f>'Cleaned Data'!L63</f>
        <v>125.8</v>
      </c>
      <c r="M63" s="2">
        <f>'Cleaned Data'!M63</f>
        <v>117.1</v>
      </c>
      <c r="N63" s="2">
        <f>'Cleaned Data'!N63</f>
        <v>137.30000000000001</v>
      </c>
      <c r="O63" s="2">
        <f>'Cleaned Data'!O63</f>
        <v>128.6</v>
      </c>
      <c r="P63" s="2">
        <f>'Cleaned Data'!P63</f>
        <v>149.6</v>
      </c>
      <c r="Q63" s="2">
        <f>'Cleaned Data'!Q63</f>
        <v>137.6</v>
      </c>
      <c r="R63" s="2">
        <f>'Cleaned Data'!R63</f>
        <v>154.9</v>
      </c>
      <c r="S63" s="2">
        <f>'Cleaned Data'!S63</f>
        <v>143.80000000000001</v>
      </c>
      <c r="T63" s="2">
        <f>'Cleaned Data'!T63</f>
        <v>135.6</v>
      </c>
      <c r="U63" s="2">
        <f>'Cleaned Data'!U63</f>
        <v>142.6</v>
      </c>
      <c r="V63" s="2">
        <f>'Cleaned Data'!V63</f>
        <v>141.30000000000001</v>
      </c>
      <c r="W63" s="2">
        <f>'Cleaned Data'!W63</f>
        <v>136.69999999999999</v>
      </c>
      <c r="X63" s="2">
        <f>'Cleaned Data'!X63</f>
        <v>135.19999999999999</v>
      </c>
      <c r="Y63" s="2">
        <f>'Cleaned Data'!Y63</f>
        <v>133.80000000000001</v>
      </c>
      <c r="Z63" s="2">
        <f>'Cleaned Data'!Z63</f>
        <v>120.2</v>
      </c>
      <c r="AA63" s="2">
        <f>'Cleaned Data'!AA63</f>
        <v>129.9</v>
      </c>
      <c r="AB63" s="2">
        <f>'Cleaned Data'!AB63</f>
        <v>139</v>
      </c>
      <c r="AC63" s="2">
        <f>'Cleaned Data'!AC63</f>
        <v>127.7</v>
      </c>
      <c r="AD63" s="2">
        <f>'Cleaned Data'!AD63</f>
        <v>129.6</v>
      </c>
      <c r="AE63" s="2">
        <f>'Cleaned Data'!AE63</f>
        <v>136.4</v>
      </c>
    </row>
    <row r="64" spans="1:31" x14ac:dyDescent="0.25">
      <c r="A64" s="1">
        <f>'Cleaned Data'!A64</f>
        <v>43160</v>
      </c>
      <c r="B64" s="1" t="str">
        <f>'Cleaned Data'!B64</f>
        <v>Rural+Urban</v>
      </c>
      <c r="C64" s="2">
        <f>'Cleaned Data'!C64</f>
        <v>2018</v>
      </c>
      <c r="D64" s="1" t="str">
        <f>'Cleaned Data'!D64</f>
        <v>March</v>
      </c>
      <c r="E64" s="2">
        <f>'Cleaned Data'!E64</f>
        <v>136.19999999999999</v>
      </c>
      <c r="F64" s="2">
        <f>'Cleaned Data'!F64</f>
        <v>143.6</v>
      </c>
      <c r="G64" s="2">
        <f>'Cleaned Data'!G64</f>
        <v>138.30000000000001</v>
      </c>
      <c r="H64" s="2">
        <f>'Cleaned Data'!H64</f>
        <v>141.19999999999999</v>
      </c>
      <c r="I64" s="2">
        <f>'Cleaned Data'!I64</f>
        <v>120.7</v>
      </c>
      <c r="J64" s="2">
        <f>'Cleaned Data'!J64</f>
        <v>146.19999999999999</v>
      </c>
      <c r="K64" s="2">
        <f>'Cleaned Data'!K64</f>
        <v>134.6</v>
      </c>
      <c r="L64" s="2">
        <f>'Cleaned Data'!L64</f>
        <v>124.6</v>
      </c>
      <c r="M64" s="2">
        <f>'Cleaned Data'!M64</f>
        <v>116.1</v>
      </c>
      <c r="N64" s="2">
        <f>'Cleaned Data'!N64</f>
        <v>137.80000000000001</v>
      </c>
      <c r="O64" s="2">
        <f>'Cleaned Data'!O64</f>
        <v>129.1</v>
      </c>
      <c r="P64" s="2">
        <f>'Cleaned Data'!P64</f>
        <v>150.4</v>
      </c>
      <c r="Q64" s="2">
        <f>'Cleaned Data'!Q64</f>
        <v>137.19999999999999</v>
      </c>
      <c r="R64" s="2">
        <f>'Cleaned Data'!R64</f>
        <v>156.30000000000001</v>
      </c>
      <c r="S64" s="2">
        <f>'Cleaned Data'!S64</f>
        <v>144.30000000000001</v>
      </c>
      <c r="T64" s="2">
        <f>'Cleaned Data'!T64</f>
        <v>136.19999999999999</v>
      </c>
      <c r="U64" s="2">
        <f>'Cleaned Data'!U64</f>
        <v>143.1</v>
      </c>
      <c r="V64" s="2">
        <f>'Cleaned Data'!V64</f>
        <v>142</v>
      </c>
      <c r="W64" s="2">
        <f>'Cleaned Data'!W64</f>
        <v>136.5</v>
      </c>
      <c r="X64" s="2">
        <f>'Cleaned Data'!X64</f>
        <v>135.6</v>
      </c>
      <c r="Y64" s="2">
        <f>'Cleaned Data'!Y64</f>
        <v>134.30000000000001</v>
      </c>
      <c r="Z64" s="2">
        <f>'Cleaned Data'!Z64</f>
        <v>121</v>
      </c>
      <c r="AA64" s="2">
        <f>'Cleaned Data'!AA64</f>
        <v>130.4</v>
      </c>
      <c r="AB64" s="2">
        <f>'Cleaned Data'!AB64</f>
        <v>139.80000000000001</v>
      </c>
      <c r="AC64" s="2">
        <f>'Cleaned Data'!AC64</f>
        <v>128.19999999999999</v>
      </c>
      <c r="AD64" s="2">
        <f>'Cleaned Data'!AD64</f>
        <v>130.30000000000001</v>
      </c>
      <c r="AE64" s="2">
        <f>'Cleaned Data'!AE64</f>
        <v>136.5</v>
      </c>
    </row>
    <row r="65" spans="1:31" x14ac:dyDescent="0.25">
      <c r="A65" s="1">
        <f>'Cleaned Data'!A65</f>
        <v>43191</v>
      </c>
      <c r="B65" s="1" t="str">
        <f>'Cleaned Data'!B65</f>
        <v>Rural+Urban</v>
      </c>
      <c r="C65" s="2">
        <f>'Cleaned Data'!C65</f>
        <v>2018</v>
      </c>
      <c r="D65" s="1" t="str">
        <f>'Cleaned Data'!D65</f>
        <v>April</v>
      </c>
      <c r="E65" s="2">
        <f>'Cleaned Data'!E65</f>
        <v>136.4</v>
      </c>
      <c r="F65" s="2">
        <f>'Cleaned Data'!F65</f>
        <v>144.4</v>
      </c>
      <c r="G65" s="2">
        <f>'Cleaned Data'!G65</f>
        <v>133.9</v>
      </c>
      <c r="H65" s="2">
        <f>'Cleaned Data'!H65</f>
        <v>141.6</v>
      </c>
      <c r="I65" s="2">
        <f>'Cleaned Data'!I65</f>
        <v>121</v>
      </c>
      <c r="J65" s="2">
        <f>'Cleaned Data'!J65</f>
        <v>153.5</v>
      </c>
      <c r="K65" s="2">
        <f>'Cleaned Data'!K65</f>
        <v>132.6</v>
      </c>
      <c r="L65" s="2">
        <f>'Cleaned Data'!L65</f>
        <v>123.5</v>
      </c>
      <c r="M65" s="2">
        <f>'Cleaned Data'!M65</f>
        <v>113.7</v>
      </c>
      <c r="N65" s="2">
        <f>'Cleaned Data'!N65</f>
        <v>138.19999999999999</v>
      </c>
      <c r="O65" s="2">
        <f>'Cleaned Data'!O65</f>
        <v>129.6</v>
      </c>
      <c r="P65" s="2">
        <f>'Cleaned Data'!P65</f>
        <v>151.19999999999999</v>
      </c>
      <c r="Q65" s="2">
        <f>'Cleaned Data'!Q65</f>
        <v>137.5</v>
      </c>
      <c r="R65" s="2">
        <f>'Cleaned Data'!R65</f>
        <v>156.9</v>
      </c>
      <c r="S65" s="2">
        <f>'Cleaned Data'!S65</f>
        <v>145.30000000000001</v>
      </c>
      <c r="T65" s="2">
        <f>'Cleaned Data'!T65</f>
        <v>136.69999999999999</v>
      </c>
      <c r="U65" s="2">
        <f>'Cleaned Data'!U65</f>
        <v>144</v>
      </c>
      <c r="V65" s="2">
        <f>'Cleaned Data'!V65</f>
        <v>142.9</v>
      </c>
      <c r="W65" s="2">
        <f>'Cleaned Data'!W65</f>
        <v>136.5</v>
      </c>
      <c r="X65" s="2">
        <f>'Cleaned Data'!X65</f>
        <v>136.6</v>
      </c>
      <c r="Y65" s="2">
        <f>'Cleaned Data'!Y65</f>
        <v>135.19999999999999</v>
      </c>
      <c r="Z65" s="2">
        <f>'Cleaned Data'!Z65</f>
        <v>121.9</v>
      </c>
      <c r="AA65" s="2">
        <f>'Cleaned Data'!AA65</f>
        <v>131.30000000000001</v>
      </c>
      <c r="AB65" s="2">
        <f>'Cleaned Data'!AB65</f>
        <v>141.4</v>
      </c>
      <c r="AC65" s="2">
        <f>'Cleaned Data'!AC65</f>
        <v>129.19999999999999</v>
      </c>
      <c r="AD65" s="2">
        <f>'Cleaned Data'!AD65</f>
        <v>131.30000000000001</v>
      </c>
      <c r="AE65" s="2">
        <f>'Cleaned Data'!AE65</f>
        <v>137.1</v>
      </c>
    </row>
    <row r="66" spans="1:31" x14ac:dyDescent="0.25">
      <c r="A66" s="1">
        <f>'Cleaned Data'!A66</f>
        <v>43221</v>
      </c>
      <c r="B66" s="1" t="str">
        <f>'Cleaned Data'!B66</f>
        <v>Rural+Urban</v>
      </c>
      <c r="C66" s="2">
        <f>'Cleaned Data'!C66</f>
        <v>2018</v>
      </c>
      <c r="D66" s="1" t="str">
        <f>'Cleaned Data'!D66</f>
        <v>May</v>
      </c>
      <c r="E66" s="2">
        <f>'Cleaned Data'!E66</f>
        <v>136.6</v>
      </c>
      <c r="F66" s="2">
        <f>'Cleaned Data'!F66</f>
        <v>146.6</v>
      </c>
      <c r="G66" s="2">
        <f>'Cleaned Data'!G66</f>
        <v>133.6</v>
      </c>
      <c r="H66" s="2">
        <f>'Cleaned Data'!H66</f>
        <v>142.1</v>
      </c>
      <c r="I66" s="2">
        <f>'Cleaned Data'!I66</f>
        <v>121</v>
      </c>
      <c r="J66" s="2">
        <f>'Cleaned Data'!J66</f>
        <v>154.6</v>
      </c>
      <c r="K66" s="2">
        <f>'Cleaned Data'!K66</f>
        <v>135.6</v>
      </c>
      <c r="L66" s="2">
        <f>'Cleaned Data'!L66</f>
        <v>122.3</v>
      </c>
      <c r="M66" s="2">
        <f>'Cleaned Data'!M66</f>
        <v>109.6</v>
      </c>
      <c r="N66" s="2">
        <f>'Cleaned Data'!N66</f>
        <v>138.1</v>
      </c>
      <c r="O66" s="2">
        <f>'Cleaned Data'!O66</f>
        <v>129.9</v>
      </c>
      <c r="P66" s="2">
        <f>'Cleaned Data'!P66</f>
        <v>151.69999999999999</v>
      </c>
      <c r="Q66" s="2">
        <f>'Cleaned Data'!Q66</f>
        <v>138.1</v>
      </c>
      <c r="R66" s="2">
        <f>'Cleaned Data'!R66</f>
        <v>157.9</v>
      </c>
      <c r="S66" s="2">
        <f>'Cleaned Data'!S66</f>
        <v>146</v>
      </c>
      <c r="T66" s="2">
        <f>'Cleaned Data'!T66</f>
        <v>137.4</v>
      </c>
      <c r="U66" s="2">
        <f>'Cleaned Data'!U66</f>
        <v>144.69999999999999</v>
      </c>
      <c r="V66" s="2">
        <f>'Cleaned Data'!V66</f>
        <v>143.19999999999999</v>
      </c>
      <c r="W66" s="2">
        <f>'Cleaned Data'!W66</f>
        <v>136.9</v>
      </c>
      <c r="X66" s="2">
        <f>'Cleaned Data'!X66</f>
        <v>137.4</v>
      </c>
      <c r="Y66" s="2">
        <f>'Cleaned Data'!Y66</f>
        <v>136</v>
      </c>
      <c r="Z66" s="2">
        <f>'Cleaned Data'!Z66</f>
        <v>122.9</v>
      </c>
      <c r="AA66" s="2">
        <f>'Cleaned Data'!AA66</f>
        <v>131.80000000000001</v>
      </c>
      <c r="AB66" s="2">
        <f>'Cleaned Data'!AB66</f>
        <v>142.1</v>
      </c>
      <c r="AC66" s="2">
        <f>'Cleaned Data'!AC66</f>
        <v>129.9</v>
      </c>
      <c r="AD66" s="2">
        <f>'Cleaned Data'!AD66</f>
        <v>132.1</v>
      </c>
      <c r="AE66" s="2">
        <f>'Cleaned Data'!AE66</f>
        <v>137.80000000000001</v>
      </c>
    </row>
    <row r="67" spans="1:31" x14ac:dyDescent="0.25">
      <c r="A67" s="1">
        <f>'Cleaned Data'!A67</f>
        <v>43252</v>
      </c>
      <c r="B67" s="1" t="str">
        <f>'Cleaned Data'!B67</f>
        <v>Rural+Urban</v>
      </c>
      <c r="C67" s="2">
        <f>'Cleaned Data'!C67</f>
        <v>2018</v>
      </c>
      <c r="D67" s="1" t="str">
        <f>'Cleaned Data'!D67</f>
        <v>June</v>
      </c>
      <c r="E67" s="2">
        <f>'Cleaned Data'!E67</f>
        <v>136.9</v>
      </c>
      <c r="F67" s="2">
        <f>'Cleaned Data'!F67</f>
        <v>148.69999999999999</v>
      </c>
      <c r="G67" s="2">
        <f>'Cleaned Data'!G67</f>
        <v>135.6</v>
      </c>
      <c r="H67" s="2">
        <f>'Cleaned Data'!H67</f>
        <v>142.30000000000001</v>
      </c>
      <c r="I67" s="2">
        <f>'Cleaned Data'!I67</f>
        <v>121.3</v>
      </c>
      <c r="J67" s="2">
        <f>'Cleaned Data'!J67</f>
        <v>153.19999999999999</v>
      </c>
      <c r="K67" s="2">
        <f>'Cleaned Data'!K67</f>
        <v>143.69999999999999</v>
      </c>
      <c r="L67" s="2">
        <f>'Cleaned Data'!L67</f>
        <v>121.4</v>
      </c>
      <c r="M67" s="2">
        <f>'Cleaned Data'!M67</f>
        <v>111.1</v>
      </c>
      <c r="N67" s="2">
        <f>'Cleaned Data'!N67</f>
        <v>138.4</v>
      </c>
      <c r="O67" s="2">
        <f>'Cleaned Data'!O67</f>
        <v>130.30000000000001</v>
      </c>
      <c r="P67" s="2">
        <f>'Cleaned Data'!P67</f>
        <v>151.80000000000001</v>
      </c>
      <c r="Q67" s="2">
        <f>'Cleaned Data'!Q67</f>
        <v>139.4</v>
      </c>
      <c r="R67" s="2">
        <f>'Cleaned Data'!R67</f>
        <v>158.30000000000001</v>
      </c>
      <c r="S67" s="2">
        <f>'Cleaned Data'!S67</f>
        <v>146.4</v>
      </c>
      <c r="T67" s="2">
        <f>'Cleaned Data'!T67</f>
        <v>138.1</v>
      </c>
      <c r="U67" s="2">
        <f>'Cleaned Data'!U67</f>
        <v>145.19999999999999</v>
      </c>
      <c r="V67" s="2">
        <f>'Cleaned Data'!V67</f>
        <v>142.5</v>
      </c>
      <c r="W67" s="2">
        <f>'Cleaned Data'!W67</f>
        <v>138.1</v>
      </c>
      <c r="X67" s="2">
        <f>'Cleaned Data'!X67</f>
        <v>137.9</v>
      </c>
      <c r="Y67" s="2">
        <f>'Cleaned Data'!Y67</f>
        <v>136.19999999999999</v>
      </c>
      <c r="Z67" s="2">
        <f>'Cleaned Data'!Z67</f>
        <v>123.7</v>
      </c>
      <c r="AA67" s="2">
        <f>'Cleaned Data'!AA67</f>
        <v>132.6</v>
      </c>
      <c r="AB67" s="2">
        <f>'Cleaned Data'!AB67</f>
        <v>142.80000000000001</v>
      </c>
      <c r="AC67" s="2">
        <f>'Cleaned Data'!AC67</f>
        <v>130.1</v>
      </c>
      <c r="AD67" s="2">
        <f>'Cleaned Data'!AD67</f>
        <v>132.6</v>
      </c>
      <c r="AE67" s="2">
        <f>'Cleaned Data'!AE67</f>
        <v>138.5</v>
      </c>
    </row>
    <row r="68" spans="1:31" x14ac:dyDescent="0.25">
      <c r="A68" s="1">
        <f>'Cleaned Data'!A68</f>
        <v>43282</v>
      </c>
      <c r="B68" s="1" t="str">
        <f>'Cleaned Data'!B68</f>
        <v>Rural+Urban</v>
      </c>
      <c r="C68" s="2">
        <f>'Cleaned Data'!C68</f>
        <v>2018</v>
      </c>
      <c r="D68" s="1" t="str">
        <f>'Cleaned Data'!D68</f>
        <v>July</v>
      </c>
      <c r="E68" s="2">
        <f>'Cleaned Data'!E68</f>
        <v>137.5</v>
      </c>
      <c r="F68" s="2">
        <f>'Cleaned Data'!F68</f>
        <v>149.1</v>
      </c>
      <c r="G68" s="2">
        <f>'Cleaned Data'!G68</f>
        <v>139.19999999999999</v>
      </c>
      <c r="H68" s="2">
        <f>'Cleaned Data'!H68</f>
        <v>142.5</v>
      </c>
      <c r="I68" s="2">
        <f>'Cleaned Data'!I68</f>
        <v>121.4</v>
      </c>
      <c r="J68" s="2">
        <f>'Cleaned Data'!J68</f>
        <v>151.6</v>
      </c>
      <c r="K68" s="2">
        <f>'Cleaned Data'!K68</f>
        <v>155.9</v>
      </c>
      <c r="L68" s="2">
        <f>'Cleaned Data'!L68</f>
        <v>121.7</v>
      </c>
      <c r="M68" s="2">
        <f>'Cleaned Data'!M68</f>
        <v>113.5</v>
      </c>
      <c r="N68" s="2">
        <f>'Cleaned Data'!N68</f>
        <v>138.9</v>
      </c>
      <c r="O68" s="2">
        <f>'Cleaned Data'!O68</f>
        <v>130.30000000000001</v>
      </c>
      <c r="P68" s="2">
        <f>'Cleaned Data'!P68</f>
        <v>152.30000000000001</v>
      </c>
      <c r="Q68" s="2">
        <f>'Cleaned Data'!Q68</f>
        <v>141.4</v>
      </c>
      <c r="R68" s="2">
        <f>'Cleaned Data'!R68</f>
        <v>157.5</v>
      </c>
      <c r="S68" s="2">
        <f>'Cleaned Data'!S68</f>
        <v>146.80000000000001</v>
      </c>
      <c r="T68" s="2">
        <f>'Cleaned Data'!T68</f>
        <v>138.4</v>
      </c>
      <c r="U68" s="2">
        <f>'Cleaned Data'!U68</f>
        <v>145.6</v>
      </c>
      <c r="V68" s="2">
        <f>'Cleaned Data'!V68</f>
        <v>143.6</v>
      </c>
      <c r="W68" s="2">
        <f>'Cleaned Data'!W68</f>
        <v>139.69999999999999</v>
      </c>
      <c r="X68" s="2">
        <f>'Cleaned Data'!X68</f>
        <v>138.6</v>
      </c>
      <c r="Y68" s="2">
        <f>'Cleaned Data'!Y68</f>
        <v>137</v>
      </c>
      <c r="Z68" s="2">
        <f>'Cleaned Data'!Z68</f>
        <v>123.6</v>
      </c>
      <c r="AA68" s="2">
        <f>'Cleaned Data'!AA68</f>
        <v>133.1</v>
      </c>
      <c r="AB68" s="2">
        <f>'Cleaned Data'!AB68</f>
        <v>144.69999999999999</v>
      </c>
      <c r="AC68" s="2">
        <f>'Cleaned Data'!AC68</f>
        <v>130.1</v>
      </c>
      <c r="AD68" s="2">
        <f>'Cleaned Data'!AD68</f>
        <v>133.19999999999999</v>
      </c>
      <c r="AE68" s="2">
        <f>'Cleaned Data'!AE68</f>
        <v>139.80000000000001</v>
      </c>
    </row>
    <row r="69" spans="1:31" x14ac:dyDescent="0.25">
      <c r="A69" s="1">
        <f>'Cleaned Data'!A69</f>
        <v>43313</v>
      </c>
      <c r="B69" s="1" t="str">
        <f>'Cleaned Data'!B69</f>
        <v>Rural+Urban</v>
      </c>
      <c r="C69" s="2">
        <f>'Cleaned Data'!C69</f>
        <v>2018</v>
      </c>
      <c r="D69" s="1" t="str">
        <f>'Cleaned Data'!D69</f>
        <v>August</v>
      </c>
      <c r="E69" s="2">
        <f>'Cleaned Data'!E69</f>
        <v>138.30000000000001</v>
      </c>
      <c r="F69" s="2">
        <f>'Cleaned Data'!F69</f>
        <v>148</v>
      </c>
      <c r="G69" s="2">
        <f>'Cleaned Data'!G69</f>
        <v>138.1</v>
      </c>
      <c r="H69" s="2">
        <f>'Cleaned Data'!H69</f>
        <v>142.6</v>
      </c>
      <c r="I69" s="2">
        <f>'Cleaned Data'!I69</f>
        <v>122.2</v>
      </c>
      <c r="J69" s="2">
        <f>'Cleaned Data'!J69</f>
        <v>150.6</v>
      </c>
      <c r="K69" s="2">
        <f>'Cleaned Data'!K69</f>
        <v>156.6</v>
      </c>
      <c r="L69" s="2">
        <f>'Cleaned Data'!L69</f>
        <v>122.4</v>
      </c>
      <c r="M69" s="2">
        <f>'Cleaned Data'!M69</f>
        <v>114.7</v>
      </c>
      <c r="N69" s="2">
        <f>'Cleaned Data'!N69</f>
        <v>139.4</v>
      </c>
      <c r="O69" s="2">
        <f>'Cleaned Data'!O69</f>
        <v>131.1</v>
      </c>
      <c r="P69" s="2">
        <f>'Cleaned Data'!P69</f>
        <v>153</v>
      </c>
      <c r="Q69" s="2">
        <f>'Cleaned Data'!Q69</f>
        <v>141.69999999999999</v>
      </c>
      <c r="R69" s="2">
        <f>'Cleaned Data'!R69</f>
        <v>157.9</v>
      </c>
      <c r="S69" s="2">
        <f>'Cleaned Data'!S69</f>
        <v>147.30000000000001</v>
      </c>
      <c r="T69" s="2">
        <f>'Cleaned Data'!T69</f>
        <v>138.80000000000001</v>
      </c>
      <c r="U69" s="2">
        <f>'Cleaned Data'!U69</f>
        <v>146.1</v>
      </c>
      <c r="V69" s="2">
        <f>'Cleaned Data'!V69</f>
        <v>144.6</v>
      </c>
      <c r="W69" s="2">
        <f>'Cleaned Data'!W69</f>
        <v>140.9</v>
      </c>
      <c r="X69" s="2">
        <f>'Cleaned Data'!X69</f>
        <v>139.4</v>
      </c>
      <c r="Y69" s="2">
        <f>'Cleaned Data'!Y69</f>
        <v>137.69999999999999</v>
      </c>
      <c r="Z69" s="2">
        <f>'Cleaned Data'!Z69</f>
        <v>124.3</v>
      </c>
      <c r="AA69" s="2">
        <f>'Cleaned Data'!AA69</f>
        <v>133.6</v>
      </c>
      <c r="AB69" s="2">
        <f>'Cleaned Data'!AB69</f>
        <v>146</v>
      </c>
      <c r="AC69" s="2">
        <f>'Cleaned Data'!AC69</f>
        <v>130.1</v>
      </c>
      <c r="AD69" s="2">
        <f>'Cleaned Data'!AD69</f>
        <v>133.9</v>
      </c>
      <c r="AE69" s="2">
        <f>'Cleaned Data'!AE69</f>
        <v>140.4</v>
      </c>
    </row>
    <row r="70" spans="1:31" x14ac:dyDescent="0.25">
      <c r="A70" s="1">
        <f>'Cleaned Data'!A70</f>
        <v>43344</v>
      </c>
      <c r="B70" s="1" t="str">
        <f>'Cleaned Data'!B70</f>
        <v>Rural+Urban</v>
      </c>
      <c r="C70" s="2">
        <f>'Cleaned Data'!C70</f>
        <v>2018</v>
      </c>
      <c r="D70" s="1" t="str">
        <f>'Cleaned Data'!D70</f>
        <v>September</v>
      </c>
      <c r="E70" s="2">
        <f>'Cleaned Data'!E70</f>
        <v>138.6</v>
      </c>
      <c r="F70" s="2">
        <f>'Cleaned Data'!F70</f>
        <v>145.80000000000001</v>
      </c>
      <c r="G70" s="2">
        <f>'Cleaned Data'!G70</f>
        <v>135.1</v>
      </c>
      <c r="H70" s="2">
        <f>'Cleaned Data'!H70</f>
        <v>142.9</v>
      </c>
      <c r="I70" s="2">
        <f>'Cleaned Data'!I70</f>
        <v>122.1</v>
      </c>
      <c r="J70" s="2">
        <f>'Cleaned Data'!J70</f>
        <v>145.4</v>
      </c>
      <c r="K70" s="2">
        <f>'Cleaned Data'!K70</f>
        <v>150</v>
      </c>
      <c r="L70" s="2">
        <f>'Cleaned Data'!L70</f>
        <v>121.4</v>
      </c>
      <c r="M70" s="2">
        <f>'Cleaned Data'!M70</f>
        <v>113.7</v>
      </c>
      <c r="N70" s="2">
        <f>'Cleaned Data'!N70</f>
        <v>139.5</v>
      </c>
      <c r="O70" s="2">
        <f>'Cleaned Data'!O70</f>
        <v>130.80000000000001</v>
      </c>
      <c r="P70" s="2">
        <f>'Cleaned Data'!P70</f>
        <v>153.80000000000001</v>
      </c>
      <c r="Q70" s="2">
        <f>'Cleaned Data'!Q70</f>
        <v>140.4</v>
      </c>
      <c r="R70" s="2">
        <f>'Cleaned Data'!R70</f>
        <v>159.19999999999999</v>
      </c>
      <c r="S70" s="2">
        <f>'Cleaned Data'!S70</f>
        <v>147.69999999999999</v>
      </c>
      <c r="T70" s="2">
        <f>'Cleaned Data'!T70</f>
        <v>139.1</v>
      </c>
      <c r="U70" s="2">
        <f>'Cleaned Data'!U70</f>
        <v>146.5</v>
      </c>
      <c r="V70" s="2">
        <f>'Cleaned Data'!V70</f>
        <v>145.30000000000001</v>
      </c>
      <c r="W70" s="2">
        <f>'Cleaned Data'!W70</f>
        <v>142.30000000000001</v>
      </c>
      <c r="X70" s="2">
        <f>'Cleaned Data'!X70</f>
        <v>139.69999999999999</v>
      </c>
      <c r="Y70" s="2">
        <f>'Cleaned Data'!Y70</f>
        <v>138.4</v>
      </c>
      <c r="Z70" s="2">
        <f>'Cleaned Data'!Z70</f>
        <v>126</v>
      </c>
      <c r="AA70" s="2">
        <f>'Cleaned Data'!AA70</f>
        <v>134.5</v>
      </c>
      <c r="AB70" s="2">
        <f>'Cleaned Data'!AB70</f>
        <v>146.19999999999999</v>
      </c>
      <c r="AC70" s="2">
        <f>'Cleaned Data'!AC70</f>
        <v>130.9</v>
      </c>
      <c r="AD70" s="2">
        <f>'Cleaned Data'!AD70</f>
        <v>134.69999999999999</v>
      </c>
      <c r="AE70" s="2">
        <f>'Cleaned Data'!AE70</f>
        <v>140.19999999999999</v>
      </c>
    </row>
    <row r="71" spans="1:31" x14ac:dyDescent="0.25">
      <c r="A71" s="1">
        <f>'Cleaned Data'!A71</f>
        <v>43374</v>
      </c>
      <c r="B71" s="1" t="str">
        <f>'Cleaned Data'!B71</f>
        <v>Rural+Urban</v>
      </c>
      <c r="C71" s="2">
        <f>'Cleaned Data'!C71</f>
        <v>2018</v>
      </c>
      <c r="D71" s="1" t="str">
        <f>'Cleaned Data'!D71</f>
        <v>October</v>
      </c>
      <c r="E71" s="2">
        <f>'Cleaned Data'!E71</f>
        <v>137.4</v>
      </c>
      <c r="F71" s="2">
        <f>'Cleaned Data'!F71</f>
        <v>149.5</v>
      </c>
      <c r="G71" s="2">
        <f>'Cleaned Data'!G71</f>
        <v>137.30000000000001</v>
      </c>
      <c r="H71" s="2">
        <f>'Cleaned Data'!H71</f>
        <v>141.9</v>
      </c>
      <c r="I71" s="2">
        <f>'Cleaned Data'!I71</f>
        <v>121.1</v>
      </c>
      <c r="J71" s="2">
        <f>'Cleaned Data'!J71</f>
        <v>142.5</v>
      </c>
      <c r="K71" s="2">
        <f>'Cleaned Data'!K71</f>
        <v>146.69999999999999</v>
      </c>
      <c r="L71" s="2">
        <f>'Cleaned Data'!L71</f>
        <v>119.1</v>
      </c>
      <c r="M71" s="2">
        <f>'Cleaned Data'!M71</f>
        <v>111.9</v>
      </c>
      <c r="N71" s="2">
        <f>'Cleaned Data'!N71</f>
        <v>141</v>
      </c>
      <c r="O71" s="2">
        <f>'Cleaned Data'!O71</f>
        <v>133.6</v>
      </c>
      <c r="P71" s="2">
        <f>'Cleaned Data'!P71</f>
        <v>154.5</v>
      </c>
      <c r="Q71" s="2">
        <f>'Cleaned Data'!Q71</f>
        <v>139.69999999999999</v>
      </c>
      <c r="R71" s="2">
        <f>'Cleaned Data'!R71</f>
        <v>162.6</v>
      </c>
      <c r="S71" s="2">
        <f>'Cleaned Data'!S71</f>
        <v>148</v>
      </c>
      <c r="T71" s="2">
        <f>'Cleaned Data'!T71</f>
        <v>139.19999999999999</v>
      </c>
      <c r="U71" s="2">
        <f>'Cleaned Data'!U71</f>
        <v>146.80000000000001</v>
      </c>
      <c r="V71" s="2">
        <f>'Cleaned Data'!V71</f>
        <v>146.9</v>
      </c>
      <c r="W71" s="2">
        <f>'Cleaned Data'!W71</f>
        <v>145.30000000000001</v>
      </c>
      <c r="X71" s="2">
        <f>'Cleaned Data'!X71</f>
        <v>142.19999999999999</v>
      </c>
      <c r="Y71" s="2">
        <f>'Cleaned Data'!Y71</f>
        <v>142.1</v>
      </c>
      <c r="Z71" s="2">
        <f>'Cleaned Data'!Z71</f>
        <v>125.5</v>
      </c>
      <c r="AA71" s="2">
        <f>'Cleaned Data'!AA71</f>
        <v>136.5</v>
      </c>
      <c r="AB71" s="2">
        <f>'Cleaned Data'!AB71</f>
        <v>147.80000000000001</v>
      </c>
      <c r="AC71" s="2">
        <f>'Cleaned Data'!AC71</f>
        <v>132</v>
      </c>
      <c r="AD71" s="2">
        <f>'Cleaned Data'!AD71</f>
        <v>136.30000000000001</v>
      </c>
      <c r="AE71" s="2">
        <f>'Cleaned Data'!AE71</f>
        <v>140.80000000000001</v>
      </c>
    </row>
    <row r="72" spans="1:31" x14ac:dyDescent="0.25">
      <c r="A72" s="1">
        <f>'Cleaned Data'!A72</f>
        <v>43405</v>
      </c>
      <c r="B72" s="1" t="str">
        <f>'Cleaned Data'!B72</f>
        <v>Rural+Urban</v>
      </c>
      <c r="C72" s="2">
        <f>'Cleaned Data'!C72</f>
        <v>2018</v>
      </c>
      <c r="D72" s="1" t="str">
        <f>'Cleaned Data'!D72</f>
        <v>November</v>
      </c>
      <c r="E72" s="2">
        <f>'Cleaned Data'!E72</f>
        <v>137.4</v>
      </c>
      <c r="F72" s="2">
        <f>'Cleaned Data'!F72</f>
        <v>149.19999999999999</v>
      </c>
      <c r="G72" s="2">
        <f>'Cleaned Data'!G72</f>
        <v>137.1</v>
      </c>
      <c r="H72" s="2">
        <f>'Cleaned Data'!H72</f>
        <v>141.80000000000001</v>
      </c>
      <c r="I72" s="2">
        <f>'Cleaned Data'!I72</f>
        <v>121.1</v>
      </c>
      <c r="J72" s="2">
        <f>'Cleaned Data'!J72</f>
        <v>142.80000000000001</v>
      </c>
      <c r="K72" s="2">
        <f>'Cleaned Data'!K72</f>
        <v>146.69999999999999</v>
      </c>
      <c r="L72" s="2">
        <f>'Cleaned Data'!L72</f>
        <v>119.1</v>
      </c>
      <c r="M72" s="2">
        <f>'Cleaned Data'!M72</f>
        <v>111.9</v>
      </c>
      <c r="N72" s="2">
        <f>'Cleaned Data'!N72</f>
        <v>140.9</v>
      </c>
      <c r="O72" s="2">
        <f>'Cleaned Data'!O72</f>
        <v>133.5</v>
      </c>
      <c r="P72" s="2">
        <f>'Cleaned Data'!P72</f>
        <v>154.5</v>
      </c>
      <c r="Q72" s="2">
        <f>'Cleaned Data'!Q72</f>
        <v>139.69999999999999</v>
      </c>
      <c r="R72" s="2">
        <f>'Cleaned Data'!R72</f>
        <v>162.6</v>
      </c>
      <c r="S72" s="2">
        <f>'Cleaned Data'!S72</f>
        <v>148</v>
      </c>
      <c r="T72" s="2">
        <f>'Cleaned Data'!T72</f>
        <v>139.1</v>
      </c>
      <c r="U72" s="2">
        <f>'Cleaned Data'!U72</f>
        <v>146.69999999999999</v>
      </c>
      <c r="V72" s="2">
        <f>'Cleaned Data'!V72</f>
        <v>146.9</v>
      </c>
      <c r="W72" s="2">
        <f>'Cleaned Data'!W72</f>
        <v>145.1</v>
      </c>
      <c r="X72" s="2">
        <f>'Cleaned Data'!X72</f>
        <v>142.19999999999999</v>
      </c>
      <c r="Y72" s="2">
        <f>'Cleaned Data'!Y72</f>
        <v>142.1</v>
      </c>
      <c r="Z72" s="2">
        <f>'Cleaned Data'!Z72</f>
        <v>125.5</v>
      </c>
      <c r="AA72" s="2">
        <f>'Cleaned Data'!AA72</f>
        <v>136.5</v>
      </c>
      <c r="AB72" s="2">
        <f>'Cleaned Data'!AB72</f>
        <v>147.80000000000001</v>
      </c>
      <c r="AC72" s="2">
        <f>'Cleaned Data'!AC72</f>
        <v>132</v>
      </c>
      <c r="AD72" s="2">
        <f>'Cleaned Data'!AD72</f>
        <v>136.30000000000001</v>
      </c>
      <c r="AE72" s="2">
        <f>'Cleaned Data'!AE72</f>
        <v>140.80000000000001</v>
      </c>
    </row>
    <row r="73" spans="1:31" x14ac:dyDescent="0.25">
      <c r="A73" s="1">
        <f>'Cleaned Data'!A73</f>
        <v>43435</v>
      </c>
      <c r="B73" s="1" t="str">
        <f>'Cleaned Data'!B73</f>
        <v>Rural+Urban</v>
      </c>
      <c r="C73" s="2">
        <f>'Cleaned Data'!C73</f>
        <v>2018</v>
      </c>
      <c r="D73" s="1" t="str">
        <f>'Cleaned Data'!D73</f>
        <v>December</v>
      </c>
      <c r="E73" s="2">
        <f>'Cleaned Data'!E73</f>
        <v>137.5</v>
      </c>
      <c r="F73" s="2">
        <f>'Cleaned Data'!F73</f>
        <v>150.5</v>
      </c>
      <c r="G73" s="2">
        <f>'Cleaned Data'!G73</f>
        <v>138.80000000000001</v>
      </c>
      <c r="H73" s="2">
        <f>'Cleaned Data'!H73</f>
        <v>142.1</v>
      </c>
      <c r="I73" s="2">
        <f>'Cleaned Data'!I73</f>
        <v>122</v>
      </c>
      <c r="J73" s="2">
        <f>'Cleaned Data'!J73</f>
        <v>139.4</v>
      </c>
      <c r="K73" s="2">
        <f>'Cleaned Data'!K73</f>
        <v>135.19999999999999</v>
      </c>
      <c r="L73" s="2">
        <f>'Cleaned Data'!L73</f>
        <v>119.8</v>
      </c>
      <c r="M73" s="2">
        <f>'Cleaned Data'!M73</f>
        <v>110.3</v>
      </c>
      <c r="N73" s="2">
        <f>'Cleaned Data'!N73</f>
        <v>140.6</v>
      </c>
      <c r="O73" s="2">
        <f>'Cleaned Data'!O73</f>
        <v>133.80000000000001</v>
      </c>
      <c r="P73" s="2">
        <f>'Cleaned Data'!P73</f>
        <v>154.6</v>
      </c>
      <c r="Q73" s="2">
        <f>'Cleaned Data'!Q73</f>
        <v>138.19999999999999</v>
      </c>
      <c r="R73" s="2">
        <f>'Cleaned Data'!R73</f>
        <v>163</v>
      </c>
      <c r="S73" s="2">
        <f>'Cleaned Data'!S73</f>
        <v>148.1</v>
      </c>
      <c r="T73" s="2">
        <f>'Cleaned Data'!T73</f>
        <v>139.4</v>
      </c>
      <c r="U73" s="2">
        <f>'Cleaned Data'!U73</f>
        <v>146.80000000000001</v>
      </c>
      <c r="V73" s="2">
        <f>'Cleaned Data'!V73</f>
        <v>146.5</v>
      </c>
      <c r="W73" s="2">
        <f>'Cleaned Data'!W73</f>
        <v>142.69999999999999</v>
      </c>
      <c r="X73" s="2">
        <f>'Cleaned Data'!X73</f>
        <v>143.19999999999999</v>
      </c>
      <c r="Y73" s="2">
        <f>'Cleaned Data'!Y73</f>
        <v>144.9</v>
      </c>
      <c r="Z73" s="2">
        <f>'Cleaned Data'!Z73</f>
        <v>123.6</v>
      </c>
      <c r="AA73" s="2">
        <f>'Cleaned Data'!AA73</f>
        <v>136.80000000000001</v>
      </c>
      <c r="AB73" s="2">
        <f>'Cleaned Data'!AB73</f>
        <v>150.1</v>
      </c>
      <c r="AC73" s="2">
        <f>'Cleaned Data'!AC73</f>
        <v>132.19999999999999</v>
      </c>
      <c r="AD73" s="2">
        <f>'Cleaned Data'!AD73</f>
        <v>136.80000000000001</v>
      </c>
      <c r="AE73" s="2">
        <f>'Cleaned Data'!AE73</f>
        <v>140.1</v>
      </c>
    </row>
    <row r="74" spans="1:31" x14ac:dyDescent="0.25">
      <c r="A74" s="1">
        <f>'Cleaned Data'!A74</f>
        <v>43466</v>
      </c>
      <c r="B74" s="1" t="str">
        <f>'Cleaned Data'!B74</f>
        <v>Rural+Urban</v>
      </c>
      <c r="C74" s="2">
        <f>'Cleaned Data'!C74</f>
        <v>2019</v>
      </c>
      <c r="D74" s="1" t="str">
        <f>'Cleaned Data'!D74</f>
        <v>January</v>
      </c>
      <c r="E74" s="2">
        <f>'Cleaned Data'!E74</f>
        <v>137.1</v>
      </c>
      <c r="F74" s="2">
        <f>'Cleaned Data'!F74</f>
        <v>151.4</v>
      </c>
      <c r="G74" s="2">
        <f>'Cleaned Data'!G74</f>
        <v>140.19999999999999</v>
      </c>
      <c r="H74" s="2">
        <f>'Cleaned Data'!H74</f>
        <v>142.1</v>
      </c>
      <c r="I74" s="2">
        <f>'Cleaned Data'!I74</f>
        <v>121.8</v>
      </c>
      <c r="J74" s="2">
        <f>'Cleaned Data'!J74</f>
        <v>135.4</v>
      </c>
      <c r="K74" s="2">
        <f>'Cleaned Data'!K74</f>
        <v>131.30000000000001</v>
      </c>
      <c r="L74" s="2">
        <f>'Cleaned Data'!L74</f>
        <v>120.3</v>
      </c>
      <c r="M74" s="2">
        <f>'Cleaned Data'!M74</f>
        <v>109.1</v>
      </c>
      <c r="N74" s="2">
        <f>'Cleaned Data'!N74</f>
        <v>139.4</v>
      </c>
      <c r="O74" s="2">
        <f>'Cleaned Data'!O74</f>
        <v>133.30000000000001</v>
      </c>
      <c r="P74" s="2">
        <f>'Cleaned Data'!P74</f>
        <v>154.6</v>
      </c>
      <c r="Q74" s="2">
        <f>'Cleaned Data'!Q74</f>
        <v>137.4</v>
      </c>
      <c r="R74" s="2">
        <f>'Cleaned Data'!R74</f>
        <v>163.19999999999999</v>
      </c>
      <c r="S74" s="2">
        <f>'Cleaned Data'!S74</f>
        <v>147.6</v>
      </c>
      <c r="T74" s="2">
        <f>'Cleaned Data'!T74</f>
        <v>139</v>
      </c>
      <c r="U74" s="2">
        <f>'Cleaned Data'!U74</f>
        <v>146.4</v>
      </c>
      <c r="V74" s="2">
        <f>'Cleaned Data'!V74</f>
        <v>147.69999999999999</v>
      </c>
      <c r="W74" s="2">
        <f>'Cleaned Data'!W74</f>
        <v>139.5</v>
      </c>
      <c r="X74" s="2">
        <f>'Cleaned Data'!X74</f>
        <v>143.6</v>
      </c>
      <c r="Y74" s="2">
        <f>'Cleaned Data'!Y74</f>
        <v>145.1</v>
      </c>
      <c r="Z74" s="2">
        <f>'Cleaned Data'!Z74</f>
        <v>123.3</v>
      </c>
      <c r="AA74" s="2">
        <f>'Cleaned Data'!AA74</f>
        <v>136.69999999999999</v>
      </c>
      <c r="AB74" s="2">
        <f>'Cleaned Data'!AB74</f>
        <v>150.19999999999999</v>
      </c>
      <c r="AC74" s="2">
        <f>'Cleaned Data'!AC74</f>
        <v>132.80000000000001</v>
      </c>
      <c r="AD74" s="2">
        <f>'Cleaned Data'!AD74</f>
        <v>136.9</v>
      </c>
      <c r="AE74" s="2">
        <f>'Cleaned Data'!AE74</f>
        <v>139.6</v>
      </c>
    </row>
    <row r="75" spans="1:31" x14ac:dyDescent="0.25">
      <c r="A75" s="1">
        <f>'Cleaned Data'!A75</f>
        <v>43497</v>
      </c>
      <c r="B75" s="1" t="str">
        <f>'Cleaned Data'!B75</f>
        <v>Rural+Urban</v>
      </c>
      <c r="C75" s="2">
        <f>'Cleaned Data'!C75</f>
        <v>2019</v>
      </c>
      <c r="D75" s="1" t="str">
        <f>'Cleaned Data'!D75</f>
        <v>February</v>
      </c>
      <c r="E75" s="2">
        <f>'Cleaned Data'!E75</f>
        <v>137.6</v>
      </c>
      <c r="F75" s="2">
        <f>'Cleaned Data'!F75</f>
        <v>152</v>
      </c>
      <c r="G75" s="2">
        <f>'Cleaned Data'!G75</f>
        <v>141.5</v>
      </c>
      <c r="H75" s="2">
        <f>'Cleaned Data'!H75</f>
        <v>142.19999999999999</v>
      </c>
      <c r="I75" s="2">
        <f>'Cleaned Data'!I75</f>
        <v>122</v>
      </c>
      <c r="J75" s="2">
        <f>'Cleaned Data'!J75</f>
        <v>136.4</v>
      </c>
      <c r="K75" s="2">
        <f>'Cleaned Data'!K75</f>
        <v>129.69999999999999</v>
      </c>
      <c r="L75" s="2">
        <f>'Cleaned Data'!L75</f>
        <v>121</v>
      </c>
      <c r="M75" s="2">
        <f>'Cleaned Data'!M75</f>
        <v>109</v>
      </c>
      <c r="N75" s="2">
        <f>'Cleaned Data'!N75</f>
        <v>139.69999999999999</v>
      </c>
      <c r="O75" s="2">
        <f>'Cleaned Data'!O75</f>
        <v>133.6</v>
      </c>
      <c r="P75" s="2">
        <f>'Cleaned Data'!P75</f>
        <v>154.9</v>
      </c>
      <c r="Q75" s="2">
        <f>'Cleaned Data'!Q75</f>
        <v>137.5</v>
      </c>
      <c r="R75" s="2">
        <f>'Cleaned Data'!R75</f>
        <v>163.4</v>
      </c>
      <c r="S75" s="2">
        <f>'Cleaned Data'!S75</f>
        <v>147.69999999999999</v>
      </c>
      <c r="T75" s="2">
        <f>'Cleaned Data'!T75</f>
        <v>139.69999999999999</v>
      </c>
      <c r="U75" s="2">
        <f>'Cleaned Data'!U75</f>
        <v>146.5</v>
      </c>
      <c r="V75" s="2">
        <f>'Cleaned Data'!V75</f>
        <v>148.5</v>
      </c>
      <c r="W75" s="2">
        <f>'Cleaned Data'!W75</f>
        <v>138.4</v>
      </c>
      <c r="X75" s="2">
        <f>'Cleaned Data'!X75</f>
        <v>143.69999999999999</v>
      </c>
      <c r="Y75" s="2">
        <f>'Cleaned Data'!Y75</f>
        <v>145.6</v>
      </c>
      <c r="Z75" s="2">
        <f>'Cleaned Data'!Z75</f>
        <v>123.9</v>
      </c>
      <c r="AA75" s="2">
        <f>'Cleaned Data'!AA75</f>
        <v>137.1</v>
      </c>
      <c r="AB75" s="2">
        <f>'Cleaned Data'!AB75</f>
        <v>150.30000000000001</v>
      </c>
      <c r="AC75" s="2">
        <f>'Cleaned Data'!AC75</f>
        <v>134.1</v>
      </c>
      <c r="AD75" s="2">
        <f>'Cleaned Data'!AD75</f>
        <v>137.4</v>
      </c>
      <c r="AE75" s="2">
        <f>'Cleaned Data'!AE75</f>
        <v>139.9</v>
      </c>
    </row>
    <row r="76" spans="1:31" x14ac:dyDescent="0.25">
      <c r="A76" s="1">
        <f>'Cleaned Data'!A76</f>
        <v>43525</v>
      </c>
      <c r="B76" s="1" t="str">
        <f>'Cleaned Data'!B76</f>
        <v>Rural+Urban</v>
      </c>
      <c r="C76" s="2">
        <f>'Cleaned Data'!C76</f>
        <v>2019</v>
      </c>
      <c r="D76" s="1" t="str">
        <f>'Cleaned Data'!D76</f>
        <v>March</v>
      </c>
      <c r="E76" s="2">
        <f>'Cleaned Data'!E76</f>
        <v>137.80000000000001</v>
      </c>
      <c r="F76" s="2">
        <f>'Cleaned Data'!F76</f>
        <v>153</v>
      </c>
      <c r="G76" s="2">
        <f>'Cleaned Data'!G76</f>
        <v>140.30000000000001</v>
      </c>
      <c r="H76" s="2">
        <f>'Cleaned Data'!H76</f>
        <v>142.30000000000001</v>
      </c>
      <c r="I76" s="2">
        <f>'Cleaned Data'!I76</f>
        <v>122</v>
      </c>
      <c r="J76" s="2">
        <f>'Cleaned Data'!J76</f>
        <v>137.6</v>
      </c>
      <c r="K76" s="2">
        <f>'Cleaned Data'!K76</f>
        <v>132.6</v>
      </c>
      <c r="L76" s="2">
        <f>'Cleaned Data'!L76</f>
        <v>121.8</v>
      </c>
      <c r="M76" s="2">
        <f>'Cleaned Data'!M76</f>
        <v>109</v>
      </c>
      <c r="N76" s="2">
        <f>'Cleaned Data'!N76</f>
        <v>139.5</v>
      </c>
      <c r="O76" s="2">
        <f>'Cleaned Data'!O76</f>
        <v>133.69999999999999</v>
      </c>
      <c r="P76" s="2">
        <f>'Cleaned Data'!P76</f>
        <v>155.19999999999999</v>
      </c>
      <c r="Q76" s="2">
        <f>'Cleaned Data'!Q76</f>
        <v>138.1</v>
      </c>
      <c r="R76" s="2">
        <f>'Cleaned Data'!R76</f>
        <v>163.5</v>
      </c>
      <c r="S76" s="2">
        <f>'Cleaned Data'!S76</f>
        <v>147.9</v>
      </c>
      <c r="T76" s="2">
        <f>'Cleaned Data'!T76</f>
        <v>139.9</v>
      </c>
      <c r="U76" s="2">
        <f>'Cleaned Data'!U76</f>
        <v>146.69999999999999</v>
      </c>
      <c r="V76" s="2">
        <f>'Cleaned Data'!V76</f>
        <v>149</v>
      </c>
      <c r="W76" s="2">
        <f>'Cleaned Data'!W76</f>
        <v>139.69999999999999</v>
      </c>
      <c r="X76" s="2">
        <f>'Cleaned Data'!X76</f>
        <v>143.80000000000001</v>
      </c>
      <c r="Y76" s="2">
        <f>'Cleaned Data'!Y76</f>
        <v>146.19999999999999</v>
      </c>
      <c r="Z76" s="2">
        <f>'Cleaned Data'!Z76</f>
        <v>124.6</v>
      </c>
      <c r="AA76" s="2">
        <f>'Cleaned Data'!AA76</f>
        <v>137.69999999999999</v>
      </c>
      <c r="AB76" s="2">
        <f>'Cleaned Data'!AB76</f>
        <v>150.30000000000001</v>
      </c>
      <c r="AC76" s="2">
        <f>'Cleaned Data'!AC76</f>
        <v>133.4</v>
      </c>
      <c r="AD76" s="2">
        <f>'Cleaned Data'!AD76</f>
        <v>137.69999999999999</v>
      </c>
      <c r="AE76" s="2">
        <f>'Cleaned Data'!AE76</f>
        <v>140.4</v>
      </c>
    </row>
    <row r="77" spans="1:31" x14ac:dyDescent="0.25">
      <c r="A77" s="1">
        <f>'Cleaned Data'!A77</f>
        <v>43556</v>
      </c>
      <c r="B77" s="1" t="str">
        <f>'Cleaned Data'!B77</f>
        <v>Rural+Urban</v>
      </c>
      <c r="C77" s="2">
        <f>'Cleaned Data'!C77</f>
        <v>2019</v>
      </c>
      <c r="D77" s="1" t="str">
        <f>'Cleaned Data'!D77</f>
        <v>April</v>
      </c>
      <c r="E77" s="6">
        <v>138.05000000000001</v>
      </c>
      <c r="F77" s="6">
        <v>155.75</v>
      </c>
      <c r="G77" s="6">
        <v>138.15</v>
      </c>
      <c r="H77" s="6">
        <v>142.4</v>
      </c>
      <c r="I77" s="6">
        <v>122</v>
      </c>
      <c r="J77" s="6">
        <v>142.05000000000001</v>
      </c>
      <c r="K77" s="6">
        <v>137.80000000000001</v>
      </c>
      <c r="L77" s="6">
        <v>123.35</v>
      </c>
      <c r="M77" s="6">
        <v>109.45</v>
      </c>
      <c r="N77" s="6">
        <v>139.69999999999999</v>
      </c>
      <c r="O77" s="6">
        <v>133.85</v>
      </c>
      <c r="P77" s="6">
        <v>155.35</v>
      </c>
      <c r="Q77" s="6">
        <v>139.5</v>
      </c>
      <c r="R77" s="6">
        <v>163.80000000000001</v>
      </c>
      <c r="S77" s="6">
        <v>148.15</v>
      </c>
      <c r="T77" s="6">
        <v>140.15</v>
      </c>
      <c r="U77" s="6">
        <v>147</v>
      </c>
      <c r="V77" s="6">
        <v>149.55000000000001</v>
      </c>
      <c r="W77" s="6">
        <v>140</v>
      </c>
      <c r="X77" s="6">
        <v>143.75</v>
      </c>
      <c r="Y77" s="6">
        <v>146.55000000000001</v>
      </c>
      <c r="Z77" s="6">
        <v>124.75</v>
      </c>
      <c r="AA77" s="6">
        <v>138.44999999999999</v>
      </c>
      <c r="AB77" s="6">
        <v>150.94999999999999</v>
      </c>
      <c r="AC77" s="6">
        <v>133.4</v>
      </c>
      <c r="AD77" s="6">
        <v>137.94999999999999</v>
      </c>
      <c r="AE77" s="6">
        <v>141.19999999999999</v>
      </c>
    </row>
    <row r="78" spans="1:31" x14ac:dyDescent="0.25">
      <c r="A78" s="1">
        <f>'Cleaned Data'!A78</f>
        <v>43586</v>
      </c>
      <c r="B78" s="1" t="str">
        <f>'Cleaned Data'!B78</f>
        <v>Rural+Urban</v>
      </c>
      <c r="C78" s="2">
        <f>'Cleaned Data'!C78</f>
        <v>2019</v>
      </c>
      <c r="D78" s="1" t="str">
        <f>'Cleaned Data'!D78</f>
        <v>May</v>
      </c>
      <c r="E78" s="2">
        <f>'Cleaned Data'!E78</f>
        <v>138.30000000000001</v>
      </c>
      <c r="F78" s="2">
        <f>'Cleaned Data'!F78</f>
        <v>158.5</v>
      </c>
      <c r="G78" s="2">
        <f>'Cleaned Data'!G78</f>
        <v>136</v>
      </c>
      <c r="H78" s="2">
        <f>'Cleaned Data'!H78</f>
        <v>142.5</v>
      </c>
      <c r="I78" s="2">
        <f>'Cleaned Data'!I78</f>
        <v>122</v>
      </c>
      <c r="J78" s="2">
        <f>'Cleaned Data'!J78</f>
        <v>146.5</v>
      </c>
      <c r="K78" s="2">
        <f>'Cleaned Data'!K78</f>
        <v>143</v>
      </c>
      <c r="L78" s="2">
        <f>'Cleaned Data'!L78</f>
        <v>124.9</v>
      </c>
      <c r="M78" s="2">
        <f>'Cleaned Data'!M78</f>
        <v>109.9</v>
      </c>
      <c r="N78" s="2">
        <f>'Cleaned Data'!N78</f>
        <v>139.9</v>
      </c>
      <c r="O78" s="2">
        <f>'Cleaned Data'!O78</f>
        <v>134</v>
      </c>
      <c r="P78" s="2">
        <f>'Cleaned Data'!P78</f>
        <v>155.5</v>
      </c>
      <c r="Q78" s="2">
        <f>'Cleaned Data'!Q78</f>
        <v>140.9</v>
      </c>
      <c r="R78" s="2">
        <f>'Cleaned Data'!R78</f>
        <v>164.1</v>
      </c>
      <c r="S78" s="2">
        <f>'Cleaned Data'!S78</f>
        <v>148.4</v>
      </c>
      <c r="T78" s="2">
        <f>'Cleaned Data'!T78</f>
        <v>140.4</v>
      </c>
      <c r="U78" s="2">
        <f>'Cleaned Data'!U78</f>
        <v>147.30000000000001</v>
      </c>
      <c r="V78" s="2">
        <f>'Cleaned Data'!V78</f>
        <v>150.1</v>
      </c>
      <c r="W78" s="2">
        <f>'Cleaned Data'!W78</f>
        <v>140.30000000000001</v>
      </c>
      <c r="X78" s="2">
        <f>'Cleaned Data'!X78</f>
        <v>143.69999999999999</v>
      </c>
      <c r="Y78" s="2">
        <f>'Cleaned Data'!Y78</f>
        <v>146.9</v>
      </c>
      <c r="Z78" s="2">
        <f>'Cleaned Data'!Z78</f>
        <v>124.9</v>
      </c>
      <c r="AA78" s="2">
        <f>'Cleaned Data'!AA78</f>
        <v>139.19999999999999</v>
      </c>
      <c r="AB78" s="2">
        <f>'Cleaned Data'!AB78</f>
        <v>151.6</v>
      </c>
      <c r="AC78" s="2">
        <f>'Cleaned Data'!AC78</f>
        <v>133.4</v>
      </c>
      <c r="AD78" s="2">
        <f>'Cleaned Data'!AD78</f>
        <v>138.19999999999999</v>
      </c>
      <c r="AE78" s="2">
        <f>'Cleaned Data'!AE78</f>
        <v>142</v>
      </c>
    </row>
    <row r="79" spans="1:31" x14ac:dyDescent="0.25">
      <c r="A79" s="1">
        <f>'Cleaned Data'!A79</f>
        <v>43617</v>
      </c>
      <c r="B79" s="1" t="str">
        <f>'Cleaned Data'!B79</f>
        <v>Rural+Urban</v>
      </c>
      <c r="C79" s="2">
        <f>'Cleaned Data'!C79</f>
        <v>2019</v>
      </c>
      <c r="D79" s="1" t="str">
        <f>'Cleaned Data'!D79</f>
        <v>June</v>
      </c>
      <c r="E79" s="2">
        <f>'Cleaned Data'!E79</f>
        <v>138.69999999999999</v>
      </c>
      <c r="F79" s="2">
        <f>'Cleaned Data'!F79</f>
        <v>162.1</v>
      </c>
      <c r="G79" s="2">
        <f>'Cleaned Data'!G79</f>
        <v>137.80000000000001</v>
      </c>
      <c r="H79" s="2">
        <f>'Cleaned Data'!H79</f>
        <v>143.30000000000001</v>
      </c>
      <c r="I79" s="2">
        <f>'Cleaned Data'!I79</f>
        <v>122.2</v>
      </c>
      <c r="J79" s="2">
        <f>'Cleaned Data'!J79</f>
        <v>146.80000000000001</v>
      </c>
      <c r="K79" s="2">
        <f>'Cleaned Data'!K79</f>
        <v>150.5</v>
      </c>
      <c r="L79" s="2">
        <f>'Cleaned Data'!L79</f>
        <v>128.30000000000001</v>
      </c>
      <c r="M79" s="2">
        <f>'Cleaned Data'!M79</f>
        <v>111</v>
      </c>
      <c r="N79" s="2">
        <f>'Cleaned Data'!N79</f>
        <v>140.6</v>
      </c>
      <c r="O79" s="2">
        <f>'Cleaned Data'!O79</f>
        <v>134.19999999999999</v>
      </c>
      <c r="P79" s="2">
        <f>'Cleaned Data'!P79</f>
        <v>155.9</v>
      </c>
      <c r="Q79" s="2">
        <f>'Cleaned Data'!Q79</f>
        <v>142.69999999999999</v>
      </c>
      <c r="R79" s="2">
        <f>'Cleaned Data'!R79</f>
        <v>164.9</v>
      </c>
      <c r="S79" s="2">
        <f>'Cleaned Data'!S79</f>
        <v>148.6</v>
      </c>
      <c r="T79" s="2">
        <f>'Cleaned Data'!T79</f>
        <v>140.4</v>
      </c>
      <c r="U79" s="2">
        <f>'Cleaned Data'!U79</f>
        <v>147.4</v>
      </c>
      <c r="V79" s="2">
        <f>'Cleaned Data'!V79</f>
        <v>149.4</v>
      </c>
      <c r="W79" s="2">
        <f>'Cleaned Data'!W79</f>
        <v>141.19999999999999</v>
      </c>
      <c r="X79" s="2">
        <f>'Cleaned Data'!X79</f>
        <v>143.80000000000001</v>
      </c>
      <c r="Y79" s="2">
        <f>'Cleaned Data'!Y79</f>
        <v>147.4</v>
      </c>
      <c r="Z79" s="2">
        <f>'Cleaned Data'!Z79</f>
        <v>124.6</v>
      </c>
      <c r="AA79" s="2">
        <f>'Cleaned Data'!AA79</f>
        <v>139.6</v>
      </c>
      <c r="AB79" s="2">
        <f>'Cleaned Data'!AB79</f>
        <v>152.5</v>
      </c>
      <c r="AC79" s="2">
        <f>'Cleaned Data'!AC79</f>
        <v>134.30000000000001</v>
      </c>
      <c r="AD79" s="2">
        <f>'Cleaned Data'!AD79</f>
        <v>138.6</v>
      </c>
      <c r="AE79" s="2">
        <f>'Cleaned Data'!AE79</f>
        <v>142.9</v>
      </c>
    </row>
    <row r="80" spans="1:31" x14ac:dyDescent="0.25">
      <c r="A80" s="1">
        <f>'Cleaned Data'!A80</f>
        <v>43647</v>
      </c>
      <c r="B80" s="1" t="str">
        <f>'Cleaned Data'!B80</f>
        <v>Rural+Urban</v>
      </c>
      <c r="C80" s="2">
        <f>'Cleaned Data'!C80</f>
        <v>2019</v>
      </c>
      <c r="D80" s="1" t="str">
        <f>'Cleaned Data'!D80</f>
        <v>July</v>
      </c>
      <c r="E80" s="2">
        <f>'Cleaned Data'!E80</f>
        <v>139.30000000000001</v>
      </c>
      <c r="F80" s="2">
        <f>'Cleaned Data'!F80</f>
        <v>162.69999999999999</v>
      </c>
      <c r="G80" s="2">
        <f>'Cleaned Data'!G80</f>
        <v>140</v>
      </c>
      <c r="H80" s="2">
        <f>'Cleaned Data'!H80</f>
        <v>144</v>
      </c>
      <c r="I80" s="2">
        <f>'Cleaned Data'!I80</f>
        <v>122.5</v>
      </c>
      <c r="J80" s="2">
        <f>'Cleaned Data'!J80</f>
        <v>150.30000000000001</v>
      </c>
      <c r="K80" s="2">
        <f>'Cleaned Data'!K80</f>
        <v>160.30000000000001</v>
      </c>
      <c r="L80" s="2">
        <f>'Cleaned Data'!L80</f>
        <v>130</v>
      </c>
      <c r="M80" s="2">
        <f>'Cleaned Data'!M80</f>
        <v>111.1</v>
      </c>
      <c r="N80" s="2">
        <f>'Cleaned Data'!N80</f>
        <v>141.69999999999999</v>
      </c>
      <c r="O80" s="2">
        <f>'Cleaned Data'!O80</f>
        <v>134.69999999999999</v>
      </c>
      <c r="P80" s="2">
        <f>'Cleaned Data'!P80</f>
        <v>156.19999999999999</v>
      </c>
      <c r="Q80" s="2">
        <f>'Cleaned Data'!Q80</f>
        <v>144.69999999999999</v>
      </c>
      <c r="R80" s="2">
        <f>'Cleaned Data'!R80</f>
        <v>165.2</v>
      </c>
      <c r="S80" s="2">
        <f>'Cleaned Data'!S80</f>
        <v>148.9</v>
      </c>
      <c r="T80" s="2">
        <f>'Cleaned Data'!T80</f>
        <v>140.5</v>
      </c>
      <c r="U80" s="2">
        <f>'Cleaned Data'!U80</f>
        <v>147.6</v>
      </c>
      <c r="V80" s="2">
        <f>'Cleaned Data'!V80</f>
        <v>150.6</v>
      </c>
      <c r="W80" s="2">
        <f>'Cleaned Data'!W80</f>
        <v>139.30000000000001</v>
      </c>
      <c r="X80" s="2">
        <f>'Cleaned Data'!X80</f>
        <v>144.19999999999999</v>
      </c>
      <c r="Y80" s="2">
        <f>'Cleaned Data'!Y80</f>
        <v>147.9</v>
      </c>
      <c r="Z80" s="2">
        <f>'Cleaned Data'!Z80</f>
        <v>125.6</v>
      </c>
      <c r="AA80" s="2">
        <f>'Cleaned Data'!AA80</f>
        <v>140.5</v>
      </c>
      <c r="AB80" s="2">
        <f>'Cleaned Data'!AB80</f>
        <v>154</v>
      </c>
      <c r="AC80" s="2">
        <f>'Cleaned Data'!AC80</f>
        <v>135.69999999999999</v>
      </c>
      <c r="AD80" s="2">
        <f>'Cleaned Data'!AD80</f>
        <v>139.5</v>
      </c>
      <c r="AE80" s="2">
        <f>'Cleaned Data'!AE80</f>
        <v>144.19999999999999</v>
      </c>
    </row>
    <row r="81" spans="1:31" x14ac:dyDescent="0.25">
      <c r="A81" s="1">
        <f>'Cleaned Data'!A81</f>
        <v>43678</v>
      </c>
      <c r="B81" s="1" t="str">
        <f>'Cleaned Data'!B81</f>
        <v>Rural+Urban</v>
      </c>
      <c r="C81" s="2">
        <f>'Cleaned Data'!C81</f>
        <v>2019</v>
      </c>
      <c r="D81" s="1" t="str">
        <f>'Cleaned Data'!D81</f>
        <v>August</v>
      </c>
      <c r="E81" s="2">
        <f>'Cleaned Data'!E81</f>
        <v>140.1</v>
      </c>
      <c r="F81" s="2">
        <f>'Cleaned Data'!F81</f>
        <v>160.6</v>
      </c>
      <c r="G81" s="2">
        <f>'Cleaned Data'!G81</f>
        <v>138.5</v>
      </c>
      <c r="H81" s="2">
        <f>'Cleaned Data'!H81</f>
        <v>144.69999999999999</v>
      </c>
      <c r="I81" s="2">
        <f>'Cleaned Data'!I81</f>
        <v>122.9</v>
      </c>
      <c r="J81" s="2">
        <f>'Cleaned Data'!J81</f>
        <v>149.4</v>
      </c>
      <c r="K81" s="2">
        <f>'Cleaned Data'!K81</f>
        <v>167.4</v>
      </c>
      <c r="L81" s="2">
        <f>'Cleaned Data'!L81</f>
        <v>130.9</v>
      </c>
      <c r="M81" s="2">
        <f>'Cleaned Data'!M81</f>
        <v>112</v>
      </c>
      <c r="N81" s="2">
        <f>'Cleaned Data'!N81</f>
        <v>142.6</v>
      </c>
      <c r="O81" s="2">
        <f>'Cleaned Data'!O81</f>
        <v>134.9</v>
      </c>
      <c r="P81" s="2">
        <f>'Cleaned Data'!P81</f>
        <v>156.6</v>
      </c>
      <c r="Q81" s="2">
        <f>'Cleaned Data'!Q81</f>
        <v>145.9</v>
      </c>
      <c r="R81" s="2">
        <f>'Cleaned Data'!R81</f>
        <v>165.8</v>
      </c>
      <c r="S81" s="2">
        <f>'Cleaned Data'!S81</f>
        <v>149.1</v>
      </c>
      <c r="T81" s="2">
        <f>'Cleaned Data'!T81</f>
        <v>140.6</v>
      </c>
      <c r="U81" s="2">
        <f>'Cleaned Data'!U81</f>
        <v>147.9</v>
      </c>
      <c r="V81" s="2">
        <f>'Cleaned Data'!V81</f>
        <v>151.6</v>
      </c>
      <c r="W81" s="2">
        <f>'Cleaned Data'!W81</f>
        <v>138.5</v>
      </c>
      <c r="X81" s="2">
        <f>'Cleaned Data'!X81</f>
        <v>144.5</v>
      </c>
      <c r="Y81" s="2">
        <f>'Cleaned Data'!Y81</f>
        <v>148.5</v>
      </c>
      <c r="Z81" s="2">
        <f>'Cleaned Data'!Z81</f>
        <v>125.8</v>
      </c>
      <c r="AA81" s="2">
        <f>'Cleaned Data'!AA81</f>
        <v>140.9</v>
      </c>
      <c r="AB81" s="2">
        <f>'Cleaned Data'!AB81</f>
        <v>154.9</v>
      </c>
      <c r="AC81" s="2">
        <f>'Cleaned Data'!AC81</f>
        <v>138.4</v>
      </c>
      <c r="AD81" s="2">
        <f>'Cleaned Data'!AD81</f>
        <v>140.19999999999999</v>
      </c>
      <c r="AE81" s="2">
        <f>'Cleaned Data'!AE81</f>
        <v>145</v>
      </c>
    </row>
    <row r="82" spans="1:31" x14ac:dyDescent="0.25">
      <c r="A82" s="1">
        <f>'Cleaned Data'!A82</f>
        <v>43709</v>
      </c>
      <c r="B82" s="1" t="str">
        <f>'Cleaned Data'!B82</f>
        <v>Rural+Urban</v>
      </c>
      <c r="C82" s="2">
        <f>'Cleaned Data'!C82</f>
        <v>2019</v>
      </c>
      <c r="D82" s="1" t="str">
        <f>'Cleaned Data'!D82</f>
        <v>September</v>
      </c>
      <c r="E82" s="2">
        <f>'Cleaned Data'!E82</f>
        <v>140.9</v>
      </c>
      <c r="F82" s="2">
        <f>'Cleaned Data'!F82</f>
        <v>160.80000000000001</v>
      </c>
      <c r="G82" s="2">
        <f>'Cleaned Data'!G82</f>
        <v>139.6</v>
      </c>
      <c r="H82" s="2">
        <f>'Cleaned Data'!H82</f>
        <v>145.4</v>
      </c>
      <c r="I82" s="2">
        <f>'Cleaned Data'!I82</f>
        <v>123.5</v>
      </c>
      <c r="J82" s="2">
        <f>'Cleaned Data'!J82</f>
        <v>146.6</v>
      </c>
      <c r="K82" s="2">
        <f>'Cleaned Data'!K82</f>
        <v>173.2</v>
      </c>
      <c r="L82" s="2">
        <f>'Cleaned Data'!L82</f>
        <v>131.6</v>
      </c>
      <c r="M82" s="2">
        <f>'Cleaned Data'!M82</f>
        <v>113.2</v>
      </c>
      <c r="N82" s="2">
        <f>'Cleaned Data'!N82</f>
        <v>144.1</v>
      </c>
      <c r="O82" s="2">
        <f>'Cleaned Data'!O82</f>
        <v>135</v>
      </c>
      <c r="P82" s="2">
        <f>'Cleaned Data'!P82</f>
        <v>156.80000000000001</v>
      </c>
      <c r="Q82" s="2">
        <f>'Cleaned Data'!Q82</f>
        <v>147</v>
      </c>
      <c r="R82" s="2">
        <f>'Cleaned Data'!R82</f>
        <v>166.5</v>
      </c>
      <c r="S82" s="2">
        <f>'Cleaned Data'!S82</f>
        <v>149.19999999999999</v>
      </c>
      <c r="T82" s="2">
        <f>'Cleaned Data'!T82</f>
        <v>140.6</v>
      </c>
      <c r="U82" s="2">
        <f>'Cleaned Data'!U82</f>
        <v>147.9</v>
      </c>
      <c r="V82" s="2">
        <f>'Cleaned Data'!V82</f>
        <v>152.19999999999999</v>
      </c>
      <c r="W82" s="2">
        <f>'Cleaned Data'!W82</f>
        <v>139.19999999999999</v>
      </c>
      <c r="X82" s="2">
        <f>'Cleaned Data'!X82</f>
        <v>144.6</v>
      </c>
      <c r="Y82" s="2">
        <f>'Cleaned Data'!Y82</f>
        <v>149</v>
      </c>
      <c r="Z82" s="2">
        <f>'Cleaned Data'!Z82</f>
        <v>126.1</v>
      </c>
      <c r="AA82" s="2">
        <f>'Cleaned Data'!AA82</f>
        <v>141.30000000000001</v>
      </c>
      <c r="AB82" s="2">
        <f>'Cleaned Data'!AB82</f>
        <v>155.19999999999999</v>
      </c>
      <c r="AC82" s="2">
        <f>'Cleaned Data'!AC82</f>
        <v>139.69999999999999</v>
      </c>
      <c r="AD82" s="2">
        <f>'Cleaned Data'!AD82</f>
        <v>140.69999999999999</v>
      </c>
      <c r="AE82" s="2">
        <f>'Cleaned Data'!AE82</f>
        <v>145.80000000000001</v>
      </c>
    </row>
    <row r="83" spans="1:31" x14ac:dyDescent="0.25">
      <c r="A83" s="1">
        <f>'Cleaned Data'!A83</f>
        <v>43739</v>
      </c>
      <c r="B83" s="1" t="str">
        <f>'Cleaned Data'!B83</f>
        <v>Rural+Urban</v>
      </c>
      <c r="C83" s="2">
        <f>'Cleaned Data'!C83</f>
        <v>2019</v>
      </c>
      <c r="D83" s="1" t="str">
        <f>'Cleaned Data'!D83</f>
        <v>October</v>
      </c>
      <c r="E83" s="2">
        <f>'Cleaned Data'!E83</f>
        <v>141.80000000000001</v>
      </c>
      <c r="F83" s="2">
        <f>'Cleaned Data'!F83</f>
        <v>161</v>
      </c>
      <c r="G83" s="2">
        <f>'Cleaned Data'!G83</f>
        <v>142.6</v>
      </c>
      <c r="H83" s="2">
        <f>'Cleaned Data'!H83</f>
        <v>146.19999999999999</v>
      </c>
      <c r="I83" s="2">
        <f>'Cleaned Data'!I83</f>
        <v>123.9</v>
      </c>
      <c r="J83" s="2">
        <f>'Cleaned Data'!J83</f>
        <v>148</v>
      </c>
      <c r="K83" s="2">
        <f>'Cleaned Data'!K83</f>
        <v>188.4</v>
      </c>
      <c r="L83" s="2">
        <f>'Cleaned Data'!L83</f>
        <v>132.5</v>
      </c>
      <c r="M83" s="2">
        <f>'Cleaned Data'!M83</f>
        <v>114</v>
      </c>
      <c r="N83" s="2">
        <f>'Cleaned Data'!N83</f>
        <v>145.4</v>
      </c>
      <c r="O83" s="2">
        <f>'Cleaned Data'!O83</f>
        <v>135.1</v>
      </c>
      <c r="P83" s="2">
        <f>'Cleaned Data'!P83</f>
        <v>157.1</v>
      </c>
      <c r="Q83" s="2">
        <f>'Cleaned Data'!Q83</f>
        <v>149.6</v>
      </c>
      <c r="R83" s="2">
        <f>'Cleaned Data'!R83</f>
        <v>167.1</v>
      </c>
      <c r="S83" s="2">
        <f>'Cleaned Data'!S83</f>
        <v>149.4</v>
      </c>
      <c r="T83" s="2">
        <f>'Cleaned Data'!T83</f>
        <v>140.80000000000001</v>
      </c>
      <c r="U83" s="2">
        <f>'Cleaned Data'!U83</f>
        <v>148.19999999999999</v>
      </c>
      <c r="V83" s="2">
        <f>'Cleaned Data'!V83</f>
        <v>153</v>
      </c>
      <c r="W83" s="2">
        <f>'Cleaned Data'!W83</f>
        <v>140.6</v>
      </c>
      <c r="X83" s="2">
        <f>'Cleaned Data'!X83</f>
        <v>145</v>
      </c>
      <c r="Y83" s="2">
        <f>'Cleaned Data'!Y83</f>
        <v>149.4</v>
      </c>
      <c r="Z83" s="2">
        <f>'Cleaned Data'!Z83</f>
        <v>126.3</v>
      </c>
      <c r="AA83" s="2">
        <f>'Cleaned Data'!AA83</f>
        <v>141.69999999999999</v>
      </c>
      <c r="AB83" s="2">
        <f>'Cleaned Data'!AB83</f>
        <v>155.4</v>
      </c>
      <c r="AC83" s="2">
        <f>'Cleaned Data'!AC83</f>
        <v>140</v>
      </c>
      <c r="AD83" s="2">
        <f>'Cleaned Data'!AD83</f>
        <v>141</v>
      </c>
      <c r="AE83" s="2">
        <f>'Cleaned Data'!AE83</f>
        <v>147.19999999999999</v>
      </c>
    </row>
    <row r="84" spans="1:31" x14ac:dyDescent="0.25">
      <c r="A84" s="1">
        <f>'Cleaned Data'!A84</f>
        <v>43770</v>
      </c>
      <c r="B84" s="1" t="str">
        <f>'Cleaned Data'!B84</f>
        <v>Rural+Urban</v>
      </c>
      <c r="C84" s="2">
        <f>'Cleaned Data'!C84</f>
        <v>2019</v>
      </c>
      <c r="D84" s="1" t="str">
        <f>'Cleaned Data'!D84</f>
        <v>November</v>
      </c>
      <c r="E84" s="2">
        <f>'Cleaned Data'!E84</f>
        <v>142.5</v>
      </c>
      <c r="F84" s="2">
        <f>'Cleaned Data'!F84</f>
        <v>163.19999999999999</v>
      </c>
      <c r="G84" s="2">
        <f>'Cleaned Data'!G84</f>
        <v>145.6</v>
      </c>
      <c r="H84" s="2">
        <f>'Cleaned Data'!H84</f>
        <v>146.69999999999999</v>
      </c>
      <c r="I84" s="2">
        <f>'Cleaned Data'!I84</f>
        <v>124.3</v>
      </c>
      <c r="J84" s="2">
        <f>'Cleaned Data'!J84</f>
        <v>147.4</v>
      </c>
      <c r="K84" s="2">
        <f>'Cleaned Data'!K84</f>
        <v>199.6</v>
      </c>
      <c r="L84" s="2">
        <f>'Cleaned Data'!L84</f>
        <v>135.69999999999999</v>
      </c>
      <c r="M84" s="2">
        <f>'Cleaned Data'!M84</f>
        <v>114.2</v>
      </c>
      <c r="N84" s="2">
        <f>'Cleaned Data'!N84</f>
        <v>147</v>
      </c>
      <c r="O84" s="2">
        <f>'Cleaned Data'!O84</f>
        <v>135.30000000000001</v>
      </c>
      <c r="P84" s="2">
        <f>'Cleaned Data'!P84</f>
        <v>157.5</v>
      </c>
      <c r="Q84" s="2">
        <f>'Cleaned Data'!Q84</f>
        <v>151.9</v>
      </c>
      <c r="R84" s="2">
        <f>'Cleaned Data'!R84</f>
        <v>167.9</v>
      </c>
      <c r="S84" s="2">
        <f>'Cleaned Data'!S84</f>
        <v>149.9</v>
      </c>
      <c r="T84" s="2">
        <f>'Cleaned Data'!T84</f>
        <v>141</v>
      </c>
      <c r="U84" s="2">
        <f>'Cleaned Data'!U84</f>
        <v>148.6</v>
      </c>
      <c r="V84" s="2">
        <f>'Cleaned Data'!V84</f>
        <v>153.5</v>
      </c>
      <c r="W84" s="2">
        <f>'Cleaned Data'!W84</f>
        <v>142.30000000000001</v>
      </c>
      <c r="X84" s="2">
        <f>'Cleaned Data'!X84</f>
        <v>145.30000000000001</v>
      </c>
      <c r="Y84" s="2">
        <f>'Cleaned Data'!Y84</f>
        <v>149.9</v>
      </c>
      <c r="Z84" s="2">
        <f>'Cleaned Data'!Z84</f>
        <v>126.6</v>
      </c>
      <c r="AA84" s="2">
        <f>'Cleaned Data'!AA84</f>
        <v>142.1</v>
      </c>
      <c r="AB84" s="2">
        <f>'Cleaned Data'!AB84</f>
        <v>155.5</v>
      </c>
      <c r="AC84" s="2">
        <f>'Cleaned Data'!AC84</f>
        <v>140.30000000000001</v>
      </c>
      <c r="AD84" s="2">
        <f>'Cleaned Data'!AD84</f>
        <v>141.30000000000001</v>
      </c>
      <c r="AE84" s="2">
        <f>'Cleaned Data'!AE84</f>
        <v>148.6</v>
      </c>
    </row>
    <row r="85" spans="1:31" x14ac:dyDescent="0.25">
      <c r="A85" s="1">
        <f>'Cleaned Data'!A85</f>
        <v>43800</v>
      </c>
      <c r="B85" s="1" t="str">
        <f>'Cleaned Data'!B85</f>
        <v>Rural+Urban</v>
      </c>
      <c r="C85" s="2">
        <f>'Cleaned Data'!C85</f>
        <v>2019</v>
      </c>
      <c r="D85" s="1" t="str">
        <f>'Cleaned Data'!D85</f>
        <v>December</v>
      </c>
      <c r="E85" s="2">
        <f>'Cleaned Data'!E85</f>
        <v>143.5</v>
      </c>
      <c r="F85" s="2">
        <f>'Cleaned Data'!F85</f>
        <v>165</v>
      </c>
      <c r="G85" s="2">
        <f>'Cleaned Data'!G85</f>
        <v>151.1</v>
      </c>
      <c r="H85" s="2">
        <f>'Cleaned Data'!H85</f>
        <v>148.30000000000001</v>
      </c>
      <c r="I85" s="2">
        <f>'Cleaned Data'!I85</f>
        <v>125.7</v>
      </c>
      <c r="J85" s="2">
        <f>'Cleaned Data'!J85</f>
        <v>145.69999999999999</v>
      </c>
      <c r="K85" s="2">
        <f>'Cleaned Data'!K85</f>
        <v>217</v>
      </c>
      <c r="L85" s="2">
        <f>'Cleaned Data'!L85</f>
        <v>138.30000000000001</v>
      </c>
      <c r="M85" s="2">
        <f>'Cleaned Data'!M85</f>
        <v>114</v>
      </c>
      <c r="N85" s="2">
        <f>'Cleaned Data'!N85</f>
        <v>148.69999999999999</v>
      </c>
      <c r="O85" s="2">
        <f>'Cleaned Data'!O85</f>
        <v>135.80000000000001</v>
      </c>
      <c r="P85" s="2">
        <f>'Cleaned Data'!P85</f>
        <v>158</v>
      </c>
      <c r="Q85" s="2">
        <f>'Cleaned Data'!Q85</f>
        <v>155</v>
      </c>
      <c r="R85" s="2">
        <f>'Cleaned Data'!R85</f>
        <v>168.5</v>
      </c>
      <c r="S85" s="2">
        <f>'Cleaned Data'!S85</f>
        <v>150.30000000000001</v>
      </c>
      <c r="T85" s="2">
        <f>'Cleaned Data'!T85</f>
        <v>141.30000000000001</v>
      </c>
      <c r="U85" s="2">
        <f>'Cleaned Data'!U85</f>
        <v>149</v>
      </c>
      <c r="V85" s="2">
        <f>'Cleaned Data'!V85</f>
        <v>152.80000000000001</v>
      </c>
      <c r="W85" s="2">
        <f>'Cleaned Data'!W85</f>
        <v>143.69999999999999</v>
      </c>
      <c r="X85" s="2">
        <f>'Cleaned Data'!X85</f>
        <v>145.80000000000001</v>
      </c>
      <c r="Y85" s="2">
        <f>'Cleaned Data'!Y85</f>
        <v>150.4</v>
      </c>
      <c r="Z85" s="2">
        <f>'Cleaned Data'!Z85</f>
        <v>129.80000000000001</v>
      </c>
      <c r="AA85" s="2">
        <f>'Cleaned Data'!AA85</f>
        <v>142.30000000000001</v>
      </c>
      <c r="AB85" s="2">
        <f>'Cleaned Data'!AB85</f>
        <v>155.69999999999999</v>
      </c>
      <c r="AC85" s="2">
        <f>'Cleaned Data'!AC85</f>
        <v>140.4</v>
      </c>
      <c r="AD85" s="2">
        <f>'Cleaned Data'!AD85</f>
        <v>142.5</v>
      </c>
      <c r="AE85" s="2">
        <f>'Cleaned Data'!AE85</f>
        <v>150.4</v>
      </c>
    </row>
    <row r="86" spans="1:31" x14ac:dyDescent="0.25">
      <c r="A86" s="1">
        <f>'Cleaned Data'!A86</f>
        <v>43831</v>
      </c>
      <c r="B86" s="1" t="str">
        <f>'Cleaned Data'!B86</f>
        <v>Rural+Urban</v>
      </c>
      <c r="C86" s="2">
        <f>'Cleaned Data'!C86</f>
        <v>2020</v>
      </c>
      <c r="D86" s="1" t="str">
        <f>'Cleaned Data'!D86</f>
        <v>January</v>
      </c>
      <c r="E86" s="2">
        <f>'Cleaned Data'!E86</f>
        <v>144.30000000000001</v>
      </c>
      <c r="F86" s="2">
        <f>'Cleaned Data'!F86</f>
        <v>167.4</v>
      </c>
      <c r="G86" s="2">
        <f>'Cleaned Data'!G86</f>
        <v>154.9</v>
      </c>
      <c r="H86" s="2">
        <f>'Cleaned Data'!H86</f>
        <v>150.1</v>
      </c>
      <c r="I86" s="2">
        <f>'Cleaned Data'!I86</f>
        <v>129.9</v>
      </c>
      <c r="J86" s="2">
        <f>'Cleaned Data'!J86</f>
        <v>143.19999999999999</v>
      </c>
      <c r="K86" s="2">
        <f>'Cleaned Data'!K86</f>
        <v>197</v>
      </c>
      <c r="L86" s="2">
        <f>'Cleaned Data'!L86</f>
        <v>140.4</v>
      </c>
      <c r="M86" s="2">
        <f>'Cleaned Data'!M86</f>
        <v>114.1</v>
      </c>
      <c r="N86" s="2">
        <f>'Cleaned Data'!N86</f>
        <v>150.9</v>
      </c>
      <c r="O86" s="2">
        <f>'Cleaned Data'!O86</f>
        <v>136.1</v>
      </c>
      <c r="P86" s="2">
        <f>'Cleaned Data'!P86</f>
        <v>158.6</v>
      </c>
      <c r="Q86" s="2">
        <f>'Cleaned Data'!Q86</f>
        <v>153.5</v>
      </c>
      <c r="R86" s="2">
        <f>'Cleaned Data'!R86</f>
        <v>169.2</v>
      </c>
      <c r="S86" s="2">
        <f>'Cleaned Data'!S86</f>
        <v>150.5</v>
      </c>
      <c r="T86" s="2">
        <f>'Cleaned Data'!T86</f>
        <v>141.5</v>
      </c>
      <c r="U86" s="2">
        <f>'Cleaned Data'!U86</f>
        <v>149.19999999999999</v>
      </c>
      <c r="V86" s="2">
        <f>'Cleaned Data'!V86</f>
        <v>153.9</v>
      </c>
      <c r="W86" s="2">
        <f>'Cleaned Data'!W86</f>
        <v>144.6</v>
      </c>
      <c r="X86" s="2">
        <f>'Cleaned Data'!X86</f>
        <v>146.19999999999999</v>
      </c>
      <c r="Y86" s="2">
        <f>'Cleaned Data'!Y86</f>
        <v>151.19999999999999</v>
      </c>
      <c r="Z86" s="2">
        <f>'Cleaned Data'!Z86</f>
        <v>130.9</v>
      </c>
      <c r="AA86" s="2">
        <f>'Cleaned Data'!AA86</f>
        <v>142.80000000000001</v>
      </c>
      <c r="AB86" s="2">
        <f>'Cleaned Data'!AB86</f>
        <v>156.1</v>
      </c>
      <c r="AC86" s="2">
        <f>'Cleaned Data'!AC86</f>
        <v>142.30000000000001</v>
      </c>
      <c r="AD86" s="2">
        <f>'Cleaned Data'!AD86</f>
        <v>143.4</v>
      </c>
      <c r="AE86" s="2">
        <f>'Cleaned Data'!AE86</f>
        <v>150.19999999999999</v>
      </c>
    </row>
    <row r="87" spans="1:31" x14ac:dyDescent="0.25">
      <c r="A87" s="1">
        <f>'Cleaned Data'!A87</f>
        <v>43862</v>
      </c>
      <c r="B87" s="1" t="str">
        <f>'Cleaned Data'!B87</f>
        <v>Rural+Urban</v>
      </c>
      <c r="C87" s="2">
        <f>'Cleaned Data'!C87</f>
        <v>2020</v>
      </c>
      <c r="D87" s="1" t="str">
        <f>'Cleaned Data'!D87</f>
        <v>February</v>
      </c>
      <c r="E87" s="2">
        <f>'Cleaned Data'!E87</f>
        <v>144.80000000000001</v>
      </c>
      <c r="F87" s="2">
        <f>'Cleaned Data'!F87</f>
        <v>167.5</v>
      </c>
      <c r="G87" s="2">
        <f>'Cleaned Data'!G87</f>
        <v>151.80000000000001</v>
      </c>
      <c r="H87" s="2">
        <f>'Cleaned Data'!H87</f>
        <v>150.80000000000001</v>
      </c>
      <c r="I87" s="2">
        <f>'Cleaned Data'!I87</f>
        <v>131.4</v>
      </c>
      <c r="J87" s="2">
        <f>'Cleaned Data'!J87</f>
        <v>141.80000000000001</v>
      </c>
      <c r="K87" s="2">
        <f>'Cleaned Data'!K87</f>
        <v>170.7</v>
      </c>
      <c r="L87" s="2">
        <f>'Cleaned Data'!L87</f>
        <v>141.1</v>
      </c>
      <c r="M87" s="2">
        <f>'Cleaned Data'!M87</f>
        <v>113.6</v>
      </c>
      <c r="N87" s="2">
        <f>'Cleaned Data'!N87</f>
        <v>152</v>
      </c>
      <c r="O87" s="2">
        <f>'Cleaned Data'!O87</f>
        <v>136.5</v>
      </c>
      <c r="P87" s="2">
        <f>'Cleaned Data'!P87</f>
        <v>159.1</v>
      </c>
      <c r="Q87" s="2">
        <f>'Cleaned Data'!Q87</f>
        <v>150.5</v>
      </c>
      <c r="R87" s="2">
        <f>'Cleaned Data'!R87</f>
        <v>170.1</v>
      </c>
      <c r="S87" s="2">
        <f>'Cleaned Data'!S87</f>
        <v>150.80000000000001</v>
      </c>
      <c r="T87" s="2">
        <f>'Cleaned Data'!T87</f>
        <v>141.69999999999999</v>
      </c>
      <c r="U87" s="2">
        <f>'Cleaned Data'!U87</f>
        <v>149.5</v>
      </c>
      <c r="V87" s="2">
        <f>'Cleaned Data'!V87</f>
        <v>154.80000000000001</v>
      </c>
      <c r="W87" s="2">
        <f>'Cleaned Data'!W87</f>
        <v>147.19999999999999</v>
      </c>
      <c r="X87" s="2">
        <f>'Cleaned Data'!X87</f>
        <v>146.4</v>
      </c>
      <c r="Y87" s="2">
        <f>'Cleaned Data'!Y87</f>
        <v>151.69999999999999</v>
      </c>
      <c r="Z87" s="2">
        <f>'Cleaned Data'!Z87</f>
        <v>130.30000000000001</v>
      </c>
      <c r="AA87" s="2">
        <f>'Cleaned Data'!AA87</f>
        <v>143.19999999999999</v>
      </c>
      <c r="AB87" s="2">
        <f>'Cleaned Data'!AB87</f>
        <v>156.19999999999999</v>
      </c>
      <c r="AC87" s="2">
        <f>'Cleaned Data'!AC87</f>
        <v>143.4</v>
      </c>
      <c r="AD87" s="2">
        <f>'Cleaned Data'!AD87</f>
        <v>143.6</v>
      </c>
      <c r="AE87" s="2">
        <f>'Cleaned Data'!AE87</f>
        <v>149.1</v>
      </c>
    </row>
    <row r="88" spans="1:31" x14ac:dyDescent="0.25">
      <c r="A88" s="1">
        <f>'Cleaned Data'!A88</f>
        <v>43891</v>
      </c>
      <c r="B88" s="1" t="str">
        <f>'Cleaned Data'!B88</f>
        <v>Rural+Urban</v>
      </c>
      <c r="C88" s="2">
        <f>'Cleaned Data'!C88</f>
        <v>2020</v>
      </c>
      <c r="D88" s="1" t="str">
        <f>'Cleaned Data'!D88</f>
        <v>March</v>
      </c>
      <c r="E88" s="2">
        <f>'Cleaned Data'!E88</f>
        <v>145.1</v>
      </c>
      <c r="F88" s="2">
        <f>'Cleaned Data'!F88</f>
        <v>167</v>
      </c>
      <c r="G88" s="2">
        <f>'Cleaned Data'!G88</f>
        <v>148.1</v>
      </c>
      <c r="H88" s="2">
        <f>'Cleaned Data'!H88</f>
        <v>151.5</v>
      </c>
      <c r="I88" s="2">
        <f>'Cleaned Data'!I88</f>
        <v>131.19999999999999</v>
      </c>
      <c r="J88" s="2">
        <f>'Cleaned Data'!J88</f>
        <v>142.5</v>
      </c>
      <c r="K88" s="2">
        <f>'Cleaned Data'!K88</f>
        <v>157.30000000000001</v>
      </c>
      <c r="L88" s="2">
        <f>'Cleaned Data'!L88</f>
        <v>141.1</v>
      </c>
      <c r="M88" s="2">
        <f>'Cleaned Data'!M88</f>
        <v>113.2</v>
      </c>
      <c r="N88" s="2">
        <f>'Cleaned Data'!N88</f>
        <v>153.19999999999999</v>
      </c>
      <c r="O88" s="2">
        <f>'Cleaned Data'!O88</f>
        <v>136.69999999999999</v>
      </c>
      <c r="P88" s="2">
        <f>'Cleaned Data'!P88</f>
        <v>159.6</v>
      </c>
      <c r="Q88" s="2">
        <f>'Cleaned Data'!Q88</f>
        <v>148.9</v>
      </c>
      <c r="R88" s="2">
        <f>'Cleaned Data'!R88</f>
        <v>171.2</v>
      </c>
      <c r="S88" s="2">
        <f>'Cleaned Data'!S88</f>
        <v>151.19999999999999</v>
      </c>
      <c r="T88" s="2">
        <f>'Cleaned Data'!T88</f>
        <v>141.9</v>
      </c>
      <c r="U88" s="2">
        <f>'Cleaned Data'!U88</f>
        <v>149.80000000000001</v>
      </c>
      <c r="V88" s="2">
        <f>'Cleaned Data'!V88</f>
        <v>154.5</v>
      </c>
      <c r="W88" s="2">
        <f>'Cleaned Data'!W88</f>
        <v>148.9</v>
      </c>
      <c r="X88" s="2">
        <f>'Cleaned Data'!X88</f>
        <v>146.4</v>
      </c>
      <c r="Y88" s="2">
        <f>'Cleaned Data'!Y88</f>
        <v>152.30000000000001</v>
      </c>
      <c r="Z88" s="2">
        <f>'Cleaned Data'!Z88</f>
        <v>129.9</v>
      </c>
      <c r="AA88" s="2">
        <f>'Cleaned Data'!AA88</f>
        <v>143.69999999999999</v>
      </c>
      <c r="AB88" s="2">
        <f>'Cleaned Data'!AB88</f>
        <v>156.1</v>
      </c>
      <c r="AC88" s="2">
        <f>'Cleaned Data'!AC88</f>
        <v>145.19999999999999</v>
      </c>
      <c r="AD88" s="2">
        <f>'Cleaned Data'!AD88</f>
        <v>143.80000000000001</v>
      </c>
      <c r="AE88" s="2">
        <f>'Cleaned Data'!AE88</f>
        <v>148.6</v>
      </c>
    </row>
    <row r="89" spans="1:31" x14ac:dyDescent="0.25">
      <c r="A89" s="1">
        <f>'Cleaned Data'!A89</f>
        <v>43922</v>
      </c>
      <c r="B89" s="1" t="str">
        <f>'Cleaned Data'!B89</f>
        <v>Rural+Urban</v>
      </c>
      <c r="C89" s="2">
        <f>'Cleaned Data'!C89</f>
        <v>2020</v>
      </c>
      <c r="D89" s="1" t="str">
        <f>'Cleaned Data'!D89</f>
        <v>April</v>
      </c>
      <c r="E89" s="2">
        <f>'Cleaned Data'!E89</f>
        <v>148.69999999999999</v>
      </c>
      <c r="F89" s="84">
        <v>175.56666666666666</v>
      </c>
      <c r="G89" s="2">
        <f>'Cleaned Data'!G89</f>
        <v>148.80000000000001</v>
      </c>
      <c r="H89" s="2">
        <f>'Cleaned Data'!H89</f>
        <v>155.6</v>
      </c>
      <c r="I89" s="2">
        <f>'Cleaned Data'!I89</f>
        <v>135.1</v>
      </c>
      <c r="J89" s="2">
        <f>'Cleaned Data'!J89</f>
        <v>149.9</v>
      </c>
      <c r="K89" s="2">
        <f>'Cleaned Data'!K89</f>
        <v>168.6</v>
      </c>
      <c r="L89" s="2">
        <f>'Cleaned Data'!L89</f>
        <v>150.4</v>
      </c>
      <c r="M89" s="2">
        <f>'Cleaned Data'!M89</f>
        <v>120.3</v>
      </c>
      <c r="N89" s="2">
        <f>'Cleaned Data'!N89</f>
        <v>157.1</v>
      </c>
      <c r="O89" s="2">
        <f>'Cleaned Data'!O89</f>
        <v>136.80000000000001</v>
      </c>
      <c r="P89" s="84">
        <v>160.33333333333334</v>
      </c>
      <c r="Q89" s="2">
        <f>'Cleaned Data'!Q89</f>
        <v>151.4</v>
      </c>
      <c r="R89" s="84">
        <v>175.29999999999998</v>
      </c>
      <c r="S89" s="84">
        <v>151.63333333333333</v>
      </c>
      <c r="T89" s="84">
        <v>142.73333333333335</v>
      </c>
      <c r="U89" s="84">
        <v>150.33333333333334</v>
      </c>
      <c r="V89" s="2">
        <f>'Cleaned Data'!V89</f>
        <v>155.6</v>
      </c>
      <c r="W89" s="2">
        <f>'Cleaned Data'!W89</f>
        <v>144.1</v>
      </c>
      <c r="X89" s="84">
        <v>146.4</v>
      </c>
      <c r="Y89" s="2">
        <f>'Cleaned Data'!Y89</f>
        <v>150.69999999999999</v>
      </c>
      <c r="Z89" s="84">
        <v>131.6</v>
      </c>
      <c r="AA89" s="84">
        <v>145.23333333333332</v>
      </c>
      <c r="AB89" s="84">
        <v>156.19999999999999</v>
      </c>
      <c r="AC89" s="84">
        <v>147.33333333333331</v>
      </c>
      <c r="AD89" s="84">
        <v>144.86666666666667</v>
      </c>
      <c r="AE89" s="84">
        <v>149.66666666666666</v>
      </c>
    </row>
    <row r="90" spans="1:31" x14ac:dyDescent="0.25">
      <c r="A90" s="1">
        <f>'Cleaned Data'!A90</f>
        <v>43952</v>
      </c>
      <c r="B90" s="1" t="str">
        <f>'Cleaned Data'!B90</f>
        <v>Rural+Urban</v>
      </c>
      <c r="C90" s="2">
        <f>'Cleaned Data'!C90</f>
        <v>2020</v>
      </c>
      <c r="D90" s="1" t="str">
        <f>'Cleaned Data'!D90</f>
        <v>May</v>
      </c>
      <c r="E90" s="84">
        <v>148.1</v>
      </c>
      <c r="F90" s="84">
        <v>184.13333333333333</v>
      </c>
      <c r="G90" s="84">
        <v>150.30000000000001</v>
      </c>
      <c r="H90" s="84">
        <v>152.70000000000002</v>
      </c>
      <c r="I90" s="84">
        <v>134.6</v>
      </c>
      <c r="J90" s="84">
        <v>145.63333333333333</v>
      </c>
      <c r="K90" s="84">
        <v>156.76666666666668</v>
      </c>
      <c r="L90" s="84">
        <v>147.63333333333333</v>
      </c>
      <c r="M90" s="84">
        <v>113.86666666666667</v>
      </c>
      <c r="N90" s="84">
        <v>157.4</v>
      </c>
      <c r="O90" s="84">
        <v>138.5</v>
      </c>
      <c r="P90" s="84">
        <v>161.06666666666666</v>
      </c>
      <c r="Q90" s="84">
        <v>152.30000000000001</v>
      </c>
      <c r="R90" s="84">
        <v>179.4</v>
      </c>
      <c r="S90" s="84">
        <v>152.06666666666666</v>
      </c>
      <c r="T90" s="84">
        <v>143.56666666666666</v>
      </c>
      <c r="U90" s="84">
        <v>150.86666666666667</v>
      </c>
      <c r="V90" s="84">
        <v>154.63333333333333</v>
      </c>
      <c r="W90" s="84">
        <v>144.23333333333335</v>
      </c>
      <c r="X90" s="84">
        <v>146.4</v>
      </c>
      <c r="Y90" s="84">
        <v>153.70000000000002</v>
      </c>
      <c r="Z90" s="84">
        <v>133.30000000000001</v>
      </c>
      <c r="AA90" s="84">
        <v>146.76666666666668</v>
      </c>
      <c r="AB90" s="84">
        <v>156.30000000000001</v>
      </c>
      <c r="AC90" s="84">
        <v>149.46666666666667</v>
      </c>
      <c r="AD90" s="84">
        <v>145.93333333333334</v>
      </c>
      <c r="AE90" s="84">
        <v>150.73333333333335</v>
      </c>
    </row>
    <row r="91" spans="1:31" x14ac:dyDescent="0.25">
      <c r="A91" s="1">
        <f>'Cleaned Data'!A91</f>
        <v>43983</v>
      </c>
      <c r="B91" s="1" t="str">
        <f>'Cleaned Data'!B91</f>
        <v>Rural+Urban</v>
      </c>
      <c r="C91" s="2">
        <f>'Cleaned Data'!C91</f>
        <v>2020</v>
      </c>
      <c r="D91" s="1" t="str">
        <f>'Cleaned Data'!D91</f>
        <v>June</v>
      </c>
      <c r="E91" s="2">
        <f>'Cleaned Data'!E91</f>
        <v>149.6</v>
      </c>
      <c r="F91" s="2">
        <f>'Cleaned Data'!F91</f>
        <v>192.7</v>
      </c>
      <c r="G91" s="2">
        <f>'Cleaned Data'!G91</f>
        <v>151.4</v>
      </c>
      <c r="H91" s="2">
        <f>'Cleaned Data'!H91</f>
        <v>153.30000000000001</v>
      </c>
      <c r="I91" s="2">
        <f>'Cleaned Data'!I91</f>
        <v>136.30000000000001</v>
      </c>
      <c r="J91" s="2">
        <f>'Cleaned Data'!J91</f>
        <v>147.19999999999999</v>
      </c>
      <c r="K91" s="2">
        <f>'Cleaned Data'!K91</f>
        <v>156.5</v>
      </c>
      <c r="L91" s="2">
        <f>'Cleaned Data'!L91</f>
        <v>150.9</v>
      </c>
      <c r="M91" s="2">
        <f>'Cleaned Data'!M91</f>
        <v>114.2</v>
      </c>
      <c r="N91" s="2">
        <f>'Cleaned Data'!N91</f>
        <v>159.5</v>
      </c>
      <c r="O91" s="2">
        <f>'Cleaned Data'!O91</f>
        <v>139.4</v>
      </c>
      <c r="P91" s="2">
        <f>'Cleaned Data'!P91</f>
        <v>161.80000000000001</v>
      </c>
      <c r="Q91" s="2">
        <f>'Cleaned Data'!Q91</f>
        <v>154</v>
      </c>
      <c r="R91" s="2">
        <f>'Cleaned Data'!R91</f>
        <v>183.5</v>
      </c>
      <c r="S91" s="2">
        <f>'Cleaned Data'!S91</f>
        <v>152.5</v>
      </c>
      <c r="T91" s="2">
        <f>'Cleaned Data'!T91</f>
        <v>144.4</v>
      </c>
      <c r="U91" s="2">
        <f>'Cleaned Data'!U91</f>
        <v>151.4</v>
      </c>
      <c r="V91" s="2">
        <f>'Cleaned Data'!V91</f>
        <v>154.69999999999999</v>
      </c>
      <c r="W91" s="2">
        <f>'Cleaned Data'!W91</f>
        <v>141.9</v>
      </c>
      <c r="X91" s="2">
        <f>'Cleaned Data'!X91</f>
        <v>146.4</v>
      </c>
      <c r="Y91" s="2">
        <f>'Cleaned Data'!Y91</f>
        <v>154.4</v>
      </c>
      <c r="Z91" s="2">
        <f>'Cleaned Data'!Z91</f>
        <v>135</v>
      </c>
      <c r="AA91" s="2">
        <f>'Cleaned Data'!AA91</f>
        <v>148.30000000000001</v>
      </c>
      <c r="AB91" s="2">
        <f>'Cleaned Data'!AB91</f>
        <v>156.4</v>
      </c>
      <c r="AC91" s="2">
        <f>'Cleaned Data'!AC91</f>
        <v>151.6</v>
      </c>
      <c r="AD91" s="2">
        <f>'Cleaned Data'!AD91</f>
        <v>147</v>
      </c>
      <c r="AE91" s="2">
        <f>'Cleaned Data'!AE91</f>
        <v>151.80000000000001</v>
      </c>
    </row>
    <row r="92" spans="1:31" x14ac:dyDescent="0.25">
      <c r="A92" s="1">
        <f>'Cleaned Data'!A92</f>
        <v>44013</v>
      </c>
      <c r="B92" s="1" t="str">
        <f>'Cleaned Data'!B92</f>
        <v>Rural+Urban</v>
      </c>
      <c r="C92" s="2">
        <f>'Cleaned Data'!C92</f>
        <v>2020</v>
      </c>
      <c r="D92" s="1" t="str">
        <f>'Cleaned Data'!D92</f>
        <v>July</v>
      </c>
      <c r="E92" s="2">
        <f>'Cleaned Data'!E92</f>
        <v>149.6</v>
      </c>
      <c r="F92" s="2">
        <f>'Cleaned Data'!F92</f>
        <v>192.7</v>
      </c>
      <c r="G92" s="2">
        <f>'Cleaned Data'!G92</f>
        <v>151.4</v>
      </c>
      <c r="H92" s="2">
        <f>'Cleaned Data'!H92</f>
        <v>153.30000000000001</v>
      </c>
      <c r="I92" s="2">
        <f>'Cleaned Data'!I92</f>
        <v>136.30000000000001</v>
      </c>
      <c r="J92" s="2">
        <f>'Cleaned Data'!J92</f>
        <v>147.19999999999999</v>
      </c>
      <c r="K92" s="2">
        <f>'Cleaned Data'!K92</f>
        <v>156.5</v>
      </c>
      <c r="L92" s="2">
        <f>'Cleaned Data'!L92</f>
        <v>150.9</v>
      </c>
      <c r="M92" s="2">
        <f>'Cleaned Data'!M92</f>
        <v>114.2</v>
      </c>
      <c r="N92" s="2">
        <f>'Cleaned Data'!N92</f>
        <v>159.5</v>
      </c>
      <c r="O92" s="2">
        <f>'Cleaned Data'!O92</f>
        <v>139.4</v>
      </c>
      <c r="P92" s="2">
        <f>'Cleaned Data'!P92</f>
        <v>161.80000000000001</v>
      </c>
      <c r="Q92" s="2">
        <f>'Cleaned Data'!Q92</f>
        <v>154</v>
      </c>
      <c r="R92" s="2">
        <f>'Cleaned Data'!R92</f>
        <v>183.5</v>
      </c>
      <c r="S92" s="2">
        <f>'Cleaned Data'!S92</f>
        <v>152.5</v>
      </c>
      <c r="T92" s="2">
        <f>'Cleaned Data'!T92</f>
        <v>144.4</v>
      </c>
      <c r="U92" s="2">
        <f>'Cleaned Data'!U92</f>
        <v>151.4</v>
      </c>
      <c r="V92" s="2">
        <f>'Cleaned Data'!V92</f>
        <v>154.69999999999999</v>
      </c>
      <c r="W92" s="2">
        <f>'Cleaned Data'!W92</f>
        <v>141.9</v>
      </c>
      <c r="X92" s="2">
        <f>'Cleaned Data'!X92</f>
        <v>146.4</v>
      </c>
      <c r="Y92" s="2">
        <f>'Cleaned Data'!Y92</f>
        <v>154.4</v>
      </c>
      <c r="Z92" s="2">
        <f>'Cleaned Data'!Z92</f>
        <v>135</v>
      </c>
      <c r="AA92" s="2">
        <f>'Cleaned Data'!AA92</f>
        <v>148.30000000000001</v>
      </c>
      <c r="AB92" s="2">
        <f>'Cleaned Data'!AB92</f>
        <v>156.4</v>
      </c>
      <c r="AC92" s="2">
        <f>'Cleaned Data'!AC92</f>
        <v>151.6</v>
      </c>
      <c r="AD92" s="2">
        <f>'Cleaned Data'!AD92</f>
        <v>147</v>
      </c>
      <c r="AE92" s="2">
        <f>'Cleaned Data'!AE92</f>
        <v>151.80000000000001</v>
      </c>
    </row>
    <row r="93" spans="1:31" x14ac:dyDescent="0.25">
      <c r="A93" s="1">
        <f>'Cleaned Data'!A93</f>
        <v>44044</v>
      </c>
      <c r="B93" s="1" t="str">
        <f>'Cleaned Data'!B93</f>
        <v>Rural+Urban</v>
      </c>
      <c r="C93" s="2">
        <f>'Cleaned Data'!C93</f>
        <v>2020</v>
      </c>
      <c r="D93" s="1" t="str">
        <f>'Cleaned Data'!D93</f>
        <v>August</v>
      </c>
      <c r="E93" s="2">
        <f>'Cleaned Data'!E93</f>
        <v>148.9</v>
      </c>
      <c r="F93" s="2">
        <f>'Cleaned Data'!F93</f>
        <v>190.9</v>
      </c>
      <c r="G93" s="2">
        <f>'Cleaned Data'!G93</f>
        <v>150.80000000000001</v>
      </c>
      <c r="H93" s="2">
        <f>'Cleaned Data'!H93</f>
        <v>153.30000000000001</v>
      </c>
      <c r="I93" s="2">
        <f>'Cleaned Data'!I93</f>
        <v>137.4</v>
      </c>
      <c r="J93" s="2">
        <f>'Cleaned Data'!J93</f>
        <v>150.4</v>
      </c>
      <c r="K93" s="2">
        <f>'Cleaned Data'!K93</f>
        <v>178.1</v>
      </c>
      <c r="L93" s="2">
        <f>'Cleaned Data'!L93</f>
        <v>150.4</v>
      </c>
      <c r="M93" s="2">
        <f>'Cleaned Data'!M93</f>
        <v>115.1</v>
      </c>
      <c r="N93" s="2">
        <f>'Cleaned Data'!N93</f>
        <v>160</v>
      </c>
      <c r="O93" s="2">
        <f>'Cleaned Data'!O93</f>
        <v>140.6</v>
      </c>
      <c r="P93" s="2">
        <f>'Cleaned Data'!P93</f>
        <v>162.30000000000001</v>
      </c>
      <c r="Q93" s="2">
        <f>'Cleaned Data'!Q93</f>
        <v>157</v>
      </c>
      <c r="R93" s="2">
        <f>'Cleaned Data'!R93</f>
        <v>182.6</v>
      </c>
      <c r="S93" s="2">
        <f>'Cleaned Data'!S93</f>
        <v>153.1</v>
      </c>
      <c r="T93" s="2">
        <f>'Cleaned Data'!T93</f>
        <v>143.4</v>
      </c>
      <c r="U93" s="2">
        <f>'Cleaned Data'!U93</f>
        <v>151.69999999999999</v>
      </c>
      <c r="V93" s="2">
        <f>'Cleaned Data'!V93</f>
        <v>155.5</v>
      </c>
      <c r="W93" s="2">
        <f>'Cleaned Data'!W93</f>
        <v>143</v>
      </c>
      <c r="X93" s="2">
        <f>'Cleaned Data'!X93</f>
        <v>148.4</v>
      </c>
      <c r="Y93" s="2">
        <f>'Cleaned Data'!Y93</f>
        <v>155</v>
      </c>
      <c r="Z93" s="2">
        <f>'Cleaned Data'!Z93</f>
        <v>138.5</v>
      </c>
      <c r="AA93" s="2">
        <f>'Cleaned Data'!AA93</f>
        <v>146</v>
      </c>
      <c r="AB93" s="2">
        <f>'Cleaned Data'!AB93</f>
        <v>158.5</v>
      </c>
      <c r="AC93" s="2">
        <f>'Cleaned Data'!AC93</f>
        <v>154.30000000000001</v>
      </c>
      <c r="AD93" s="2">
        <f>'Cleaned Data'!AD93</f>
        <v>149</v>
      </c>
      <c r="AE93" s="2">
        <f>'Cleaned Data'!AE93</f>
        <v>153.9</v>
      </c>
    </row>
    <row r="94" spans="1:31" x14ac:dyDescent="0.25">
      <c r="A94" s="1">
        <f>'Cleaned Data'!A94</f>
        <v>44075</v>
      </c>
      <c r="B94" s="1" t="str">
        <f>'Cleaned Data'!B94</f>
        <v>Rural+Urban</v>
      </c>
      <c r="C94" s="2">
        <f>'Cleaned Data'!C94</f>
        <v>2020</v>
      </c>
      <c r="D94" s="1" t="str">
        <f>'Cleaned Data'!D94</f>
        <v>September</v>
      </c>
      <c r="E94" s="2">
        <f>'Cleaned Data'!E94</f>
        <v>148.4</v>
      </c>
      <c r="F94" s="2">
        <f>'Cleaned Data'!F94</f>
        <v>187.1</v>
      </c>
      <c r="G94" s="2">
        <f>'Cleaned Data'!G94</f>
        <v>152.5</v>
      </c>
      <c r="H94" s="2">
        <f>'Cleaned Data'!H94</f>
        <v>153.6</v>
      </c>
      <c r="I94" s="2">
        <f>'Cleaned Data'!I94</f>
        <v>138.19999999999999</v>
      </c>
      <c r="J94" s="2">
        <f>'Cleaned Data'!J94</f>
        <v>150.9</v>
      </c>
      <c r="K94" s="2">
        <f>'Cleaned Data'!K94</f>
        <v>186.7</v>
      </c>
      <c r="L94" s="2">
        <f>'Cleaned Data'!L94</f>
        <v>149.80000000000001</v>
      </c>
      <c r="M94" s="2">
        <f>'Cleaned Data'!M94</f>
        <v>116.4</v>
      </c>
      <c r="N94" s="2">
        <f>'Cleaned Data'!N94</f>
        <v>160.30000000000001</v>
      </c>
      <c r="O94" s="2">
        <f>'Cleaned Data'!O94</f>
        <v>142.19999999999999</v>
      </c>
      <c r="P94" s="2">
        <f>'Cleaned Data'!P94</f>
        <v>162.9</v>
      </c>
      <c r="Q94" s="2">
        <f>'Cleaned Data'!Q94</f>
        <v>158</v>
      </c>
      <c r="R94" s="2">
        <f>'Cleaned Data'!R94</f>
        <v>184.4</v>
      </c>
      <c r="S94" s="2">
        <f>'Cleaned Data'!S94</f>
        <v>153.4</v>
      </c>
      <c r="T94" s="2">
        <f>'Cleaned Data'!T94</f>
        <v>144.30000000000001</v>
      </c>
      <c r="U94" s="2">
        <f>'Cleaned Data'!U94</f>
        <v>152</v>
      </c>
      <c r="V94" s="2">
        <f>'Cleaned Data'!V94</f>
        <v>156.30000000000001</v>
      </c>
      <c r="W94" s="2">
        <f>'Cleaned Data'!W94</f>
        <v>142.9</v>
      </c>
      <c r="X94" s="2">
        <f>'Cleaned Data'!X94</f>
        <v>148.69999999999999</v>
      </c>
      <c r="Y94" s="2">
        <f>'Cleaned Data'!Y94</f>
        <v>155.6</v>
      </c>
      <c r="Z94" s="2">
        <f>'Cleaned Data'!Z94</f>
        <v>139.6</v>
      </c>
      <c r="AA94" s="2">
        <f>'Cleaned Data'!AA94</f>
        <v>146.6</v>
      </c>
      <c r="AB94" s="2">
        <f>'Cleaned Data'!AB94</f>
        <v>157.5</v>
      </c>
      <c r="AC94" s="2">
        <f>'Cleaned Data'!AC94</f>
        <v>158.4</v>
      </c>
      <c r="AD94" s="2">
        <f>'Cleaned Data'!AD94</f>
        <v>150</v>
      </c>
      <c r="AE94" s="2">
        <f>'Cleaned Data'!AE94</f>
        <v>154.69999999999999</v>
      </c>
    </row>
    <row r="95" spans="1:31" x14ac:dyDescent="0.25">
      <c r="A95" s="1">
        <f>'Cleaned Data'!A95</f>
        <v>44105</v>
      </c>
      <c r="B95" s="1" t="str">
        <f>'Cleaned Data'!B95</f>
        <v>Rural+Urban</v>
      </c>
      <c r="C95" s="2">
        <f>'Cleaned Data'!C95</f>
        <v>2020</v>
      </c>
      <c r="D95" s="1" t="str">
        <f>'Cleaned Data'!D95</f>
        <v>October</v>
      </c>
      <c r="E95" s="2">
        <f>'Cleaned Data'!E95</f>
        <v>147.5</v>
      </c>
      <c r="F95" s="2">
        <f>'Cleaned Data'!F95</f>
        <v>188.9</v>
      </c>
      <c r="G95" s="2">
        <f>'Cleaned Data'!G95</f>
        <v>161.4</v>
      </c>
      <c r="H95" s="2">
        <f>'Cleaned Data'!H95</f>
        <v>153.6</v>
      </c>
      <c r="I95" s="2">
        <f>'Cleaned Data'!I95</f>
        <v>140.1</v>
      </c>
      <c r="J95" s="2">
        <f>'Cleaned Data'!J95</f>
        <v>151.19999999999999</v>
      </c>
      <c r="K95" s="2">
        <f>'Cleaned Data'!K95</f>
        <v>209.2</v>
      </c>
      <c r="L95" s="2">
        <f>'Cleaned Data'!L95</f>
        <v>150.9</v>
      </c>
      <c r="M95" s="2">
        <f>'Cleaned Data'!M95</f>
        <v>116.2</v>
      </c>
      <c r="N95" s="2">
        <f>'Cleaned Data'!N95</f>
        <v>161</v>
      </c>
      <c r="O95" s="2">
        <f>'Cleaned Data'!O95</f>
        <v>144</v>
      </c>
      <c r="P95" s="2">
        <f>'Cleaned Data'!P95</f>
        <v>163.19999999999999</v>
      </c>
      <c r="Q95" s="2">
        <f>'Cleaned Data'!Q95</f>
        <v>161.4</v>
      </c>
      <c r="R95" s="2">
        <f>'Cleaned Data'!R95</f>
        <v>184.3</v>
      </c>
      <c r="S95" s="2">
        <f>'Cleaned Data'!S95</f>
        <v>153.69999999999999</v>
      </c>
      <c r="T95" s="2">
        <f>'Cleaned Data'!T95</f>
        <v>144.6</v>
      </c>
      <c r="U95" s="2">
        <f>'Cleaned Data'!U95</f>
        <v>152.30000000000001</v>
      </c>
      <c r="V95" s="2">
        <f>'Cleaned Data'!V95</f>
        <v>156.5</v>
      </c>
      <c r="W95" s="2">
        <f>'Cleaned Data'!W95</f>
        <v>143.1</v>
      </c>
      <c r="X95" s="2">
        <f>'Cleaned Data'!X95</f>
        <v>148.69999999999999</v>
      </c>
      <c r="Y95" s="2">
        <f>'Cleaned Data'!Y95</f>
        <v>156.30000000000001</v>
      </c>
      <c r="Z95" s="2">
        <f>'Cleaned Data'!Z95</f>
        <v>140.6</v>
      </c>
      <c r="AA95" s="2">
        <f>'Cleaned Data'!AA95</f>
        <v>146.5</v>
      </c>
      <c r="AB95" s="2">
        <f>'Cleaned Data'!AB95</f>
        <v>158.5</v>
      </c>
      <c r="AC95" s="2">
        <f>'Cleaned Data'!AC95</f>
        <v>157</v>
      </c>
      <c r="AD95" s="2">
        <f>'Cleaned Data'!AD95</f>
        <v>150.4</v>
      </c>
      <c r="AE95" s="2">
        <f>'Cleaned Data'!AE95</f>
        <v>156.4</v>
      </c>
    </row>
    <row r="96" spans="1:31" x14ac:dyDescent="0.25">
      <c r="A96" s="1">
        <f>'Cleaned Data'!A96</f>
        <v>44136</v>
      </c>
      <c r="B96" s="1" t="str">
        <f>'Cleaned Data'!B96</f>
        <v>Rural+Urban</v>
      </c>
      <c r="C96" s="2">
        <f>'Cleaned Data'!C96</f>
        <v>2020</v>
      </c>
      <c r="D96" s="1" t="str">
        <f>'Cleaned Data'!D96</f>
        <v>November</v>
      </c>
      <c r="E96" s="2">
        <f>'Cleaned Data'!E96</f>
        <v>146.80000000000001</v>
      </c>
      <c r="F96" s="2">
        <f>'Cleaned Data'!F96</f>
        <v>191</v>
      </c>
      <c r="G96" s="2">
        <f>'Cleaned Data'!G96</f>
        <v>173.6</v>
      </c>
      <c r="H96" s="2">
        <f>'Cleaned Data'!H96</f>
        <v>153.80000000000001</v>
      </c>
      <c r="I96" s="2">
        <f>'Cleaned Data'!I96</f>
        <v>142.69999999999999</v>
      </c>
      <c r="J96" s="2">
        <f>'Cleaned Data'!J96</f>
        <v>148.4</v>
      </c>
      <c r="K96" s="2">
        <f>'Cleaned Data'!K96</f>
        <v>230</v>
      </c>
      <c r="L96" s="2">
        <f>'Cleaned Data'!L96</f>
        <v>156.80000000000001</v>
      </c>
      <c r="M96" s="2">
        <f>'Cleaned Data'!M96</f>
        <v>115.7</v>
      </c>
      <c r="N96" s="2">
        <f>'Cleaned Data'!N96</f>
        <v>161.80000000000001</v>
      </c>
      <c r="O96" s="2">
        <f>'Cleaned Data'!O96</f>
        <v>146.5</v>
      </c>
      <c r="P96" s="2">
        <f>'Cleaned Data'!P96</f>
        <v>163.80000000000001</v>
      </c>
      <c r="Q96" s="2">
        <f>'Cleaned Data'!Q96</f>
        <v>164.7</v>
      </c>
      <c r="R96" s="2">
        <f>'Cleaned Data'!R96</f>
        <v>184.8</v>
      </c>
      <c r="S96" s="2">
        <f>'Cleaned Data'!S96</f>
        <v>154.30000000000001</v>
      </c>
      <c r="T96" s="2">
        <f>'Cleaned Data'!T96</f>
        <v>144.9</v>
      </c>
      <c r="U96" s="2">
        <f>'Cleaned Data'!U96</f>
        <v>152.80000000000001</v>
      </c>
      <c r="V96" s="2">
        <f>'Cleaned Data'!V96</f>
        <v>158</v>
      </c>
      <c r="W96" s="2">
        <f>'Cleaned Data'!W96</f>
        <v>143.6</v>
      </c>
      <c r="X96" s="2">
        <f>'Cleaned Data'!X96</f>
        <v>149.19999999999999</v>
      </c>
      <c r="Y96" s="2">
        <f>'Cleaned Data'!Y96</f>
        <v>157.19999999999999</v>
      </c>
      <c r="Z96" s="2">
        <f>'Cleaned Data'!Z96</f>
        <v>140.4</v>
      </c>
      <c r="AA96" s="2">
        <f>'Cleaned Data'!AA96</f>
        <v>148.4</v>
      </c>
      <c r="AB96" s="2">
        <f>'Cleaned Data'!AB96</f>
        <v>158.6</v>
      </c>
      <c r="AC96" s="2">
        <f>'Cleaned Data'!AC96</f>
        <v>156.9</v>
      </c>
      <c r="AD96" s="2">
        <f>'Cleaned Data'!AD96</f>
        <v>150.69999999999999</v>
      </c>
      <c r="AE96" s="2">
        <f>'Cleaned Data'!AE96</f>
        <v>158.4</v>
      </c>
    </row>
    <row r="97" spans="1:31" x14ac:dyDescent="0.25">
      <c r="A97" s="1">
        <f>'Cleaned Data'!A97</f>
        <v>44166</v>
      </c>
      <c r="B97" s="1" t="str">
        <f>'Cleaned Data'!B97</f>
        <v>Rural+Urban</v>
      </c>
      <c r="C97" s="2">
        <f>'Cleaned Data'!C97</f>
        <v>2020</v>
      </c>
      <c r="D97" s="1" t="str">
        <f>'Cleaned Data'!D97</f>
        <v>December</v>
      </c>
      <c r="E97" s="2">
        <f>'Cleaned Data'!E97</f>
        <v>146</v>
      </c>
      <c r="F97" s="2">
        <f>'Cleaned Data'!F97</f>
        <v>191</v>
      </c>
      <c r="G97" s="2">
        <f>'Cleaned Data'!G97</f>
        <v>175.3</v>
      </c>
      <c r="H97" s="2">
        <f>'Cleaned Data'!H97</f>
        <v>154.1</v>
      </c>
      <c r="I97" s="2">
        <f>'Cleaned Data'!I97</f>
        <v>146.6</v>
      </c>
      <c r="J97" s="2">
        <f>'Cleaned Data'!J97</f>
        <v>147.69999999999999</v>
      </c>
      <c r="K97" s="2">
        <f>'Cleaned Data'!K97</f>
        <v>230.5</v>
      </c>
      <c r="L97" s="2">
        <f>'Cleaned Data'!L97</f>
        <v>160.19999999999999</v>
      </c>
      <c r="M97" s="2">
        <f>'Cleaned Data'!M97</f>
        <v>115.3</v>
      </c>
      <c r="N97" s="2">
        <f>'Cleaned Data'!N97</f>
        <v>163</v>
      </c>
      <c r="O97" s="2">
        <f>'Cleaned Data'!O97</f>
        <v>149.19999999999999</v>
      </c>
      <c r="P97" s="2">
        <f>'Cleaned Data'!P97</f>
        <v>164.8</v>
      </c>
      <c r="Q97" s="2">
        <f>'Cleaned Data'!Q97</f>
        <v>165.4</v>
      </c>
      <c r="R97" s="2">
        <f>'Cleaned Data'!R97</f>
        <v>185.4</v>
      </c>
      <c r="S97" s="2">
        <f>'Cleaned Data'!S97</f>
        <v>155</v>
      </c>
      <c r="T97" s="2">
        <f>'Cleaned Data'!T97</f>
        <v>145.4</v>
      </c>
      <c r="U97" s="2">
        <f>'Cleaned Data'!U97</f>
        <v>153.6</v>
      </c>
      <c r="V97" s="2">
        <f>'Cleaned Data'!V97</f>
        <v>158.4</v>
      </c>
      <c r="W97" s="2">
        <f>'Cleaned Data'!W97</f>
        <v>144.6</v>
      </c>
      <c r="X97" s="2">
        <f>'Cleaned Data'!X97</f>
        <v>149.69999999999999</v>
      </c>
      <c r="Y97" s="2">
        <f>'Cleaned Data'!Y97</f>
        <v>158.30000000000001</v>
      </c>
      <c r="Z97" s="2">
        <f>'Cleaned Data'!Z97</f>
        <v>140.69999999999999</v>
      </c>
      <c r="AA97" s="2">
        <f>'Cleaned Data'!AA97</f>
        <v>148.5</v>
      </c>
      <c r="AB97" s="2">
        <f>'Cleaned Data'!AB97</f>
        <v>159.4</v>
      </c>
      <c r="AC97" s="2">
        <f>'Cleaned Data'!AC97</f>
        <v>157.1</v>
      </c>
      <c r="AD97" s="2">
        <f>'Cleaned Data'!AD97</f>
        <v>151.19999999999999</v>
      </c>
      <c r="AE97" s="2">
        <f>'Cleaned Data'!AE97</f>
        <v>158.9</v>
      </c>
    </row>
    <row r="98" spans="1:31" x14ac:dyDescent="0.25">
      <c r="A98" s="1">
        <f>'Cleaned Data'!A98</f>
        <v>44197</v>
      </c>
      <c r="B98" s="1" t="str">
        <f>'Cleaned Data'!B98</f>
        <v>Rural+Urban</v>
      </c>
      <c r="C98" s="2">
        <f>'Cleaned Data'!C98</f>
        <v>2021</v>
      </c>
      <c r="D98" s="1" t="str">
        <f>'Cleaned Data'!D98</f>
        <v>January</v>
      </c>
      <c r="E98" s="2">
        <f>'Cleaned Data'!E98</f>
        <v>144.9</v>
      </c>
      <c r="F98" s="2">
        <f>'Cleaned Data'!F98</f>
        <v>190.1</v>
      </c>
      <c r="G98" s="2">
        <f>'Cleaned Data'!G98</f>
        <v>175.3</v>
      </c>
      <c r="H98" s="2">
        <f>'Cleaned Data'!H98</f>
        <v>154.1</v>
      </c>
      <c r="I98" s="2">
        <f>'Cleaned Data'!I98</f>
        <v>150.9</v>
      </c>
      <c r="J98" s="2">
        <f>'Cleaned Data'!J98</f>
        <v>149.6</v>
      </c>
      <c r="K98" s="2">
        <f>'Cleaned Data'!K98</f>
        <v>194.2</v>
      </c>
      <c r="L98" s="2">
        <f>'Cleaned Data'!L98</f>
        <v>160.4</v>
      </c>
      <c r="M98" s="2">
        <f>'Cleaned Data'!M98</f>
        <v>114.6</v>
      </c>
      <c r="N98" s="2">
        <f>'Cleaned Data'!N98</f>
        <v>164</v>
      </c>
      <c r="O98" s="2">
        <f>'Cleaned Data'!O98</f>
        <v>151.80000000000001</v>
      </c>
      <c r="P98" s="2">
        <f>'Cleaned Data'!P98</f>
        <v>165.6</v>
      </c>
      <c r="Q98" s="2">
        <f>'Cleaned Data'!Q98</f>
        <v>161</v>
      </c>
      <c r="R98" s="2">
        <f>'Cleaned Data'!R98</f>
        <v>186.5</v>
      </c>
      <c r="S98" s="2">
        <f>'Cleaned Data'!S98</f>
        <v>155.5</v>
      </c>
      <c r="T98" s="2">
        <f>'Cleaned Data'!T98</f>
        <v>146.1</v>
      </c>
      <c r="U98" s="2">
        <f>'Cleaned Data'!U98</f>
        <v>154.19999999999999</v>
      </c>
      <c r="V98" s="2">
        <f>'Cleaned Data'!V98</f>
        <v>157.69999999999999</v>
      </c>
      <c r="W98" s="2">
        <f>'Cleaned Data'!W98</f>
        <v>147.9</v>
      </c>
      <c r="X98" s="2">
        <f>'Cleaned Data'!X98</f>
        <v>150</v>
      </c>
      <c r="Y98" s="2">
        <f>'Cleaned Data'!Y98</f>
        <v>159.30000000000001</v>
      </c>
      <c r="Z98" s="2">
        <f>'Cleaned Data'!Z98</f>
        <v>141.9</v>
      </c>
      <c r="AA98" s="2">
        <f>'Cleaned Data'!AA98</f>
        <v>149.6</v>
      </c>
      <c r="AB98" s="2">
        <f>'Cleaned Data'!AB98</f>
        <v>159.19999999999999</v>
      </c>
      <c r="AC98" s="2">
        <f>'Cleaned Data'!AC98</f>
        <v>156.80000000000001</v>
      </c>
      <c r="AD98" s="2">
        <f>'Cleaned Data'!AD98</f>
        <v>151.9</v>
      </c>
      <c r="AE98" s="2">
        <f>'Cleaned Data'!AE98</f>
        <v>157.30000000000001</v>
      </c>
    </row>
    <row r="99" spans="1:31" x14ac:dyDescent="0.25">
      <c r="A99" s="1">
        <f>'Cleaned Data'!A99</f>
        <v>44228</v>
      </c>
      <c r="B99" s="1" t="str">
        <f>'Cleaned Data'!B99</f>
        <v>Rural+Urban</v>
      </c>
      <c r="C99" s="2">
        <f>'Cleaned Data'!C99</f>
        <v>2021</v>
      </c>
      <c r="D99" s="1" t="str">
        <f>'Cleaned Data'!D99</f>
        <v>February</v>
      </c>
      <c r="E99" s="2">
        <f>'Cleaned Data'!E99</f>
        <v>144.30000000000001</v>
      </c>
      <c r="F99" s="2">
        <f>'Cleaned Data'!F99</f>
        <v>186.5</v>
      </c>
      <c r="G99" s="2">
        <f>'Cleaned Data'!G99</f>
        <v>168.7</v>
      </c>
      <c r="H99" s="2">
        <f>'Cleaned Data'!H99</f>
        <v>154.69999999999999</v>
      </c>
      <c r="I99" s="2">
        <f>'Cleaned Data'!I99</f>
        <v>158.69999999999999</v>
      </c>
      <c r="J99" s="2">
        <f>'Cleaned Data'!J99</f>
        <v>150.69999999999999</v>
      </c>
      <c r="K99" s="2">
        <f>'Cleaned Data'!K99</f>
        <v>160</v>
      </c>
      <c r="L99" s="2">
        <f>'Cleaned Data'!L99</f>
        <v>158.80000000000001</v>
      </c>
      <c r="M99" s="2">
        <f>'Cleaned Data'!M99</f>
        <v>112.8</v>
      </c>
      <c r="N99" s="2">
        <f>'Cleaned Data'!N99</f>
        <v>164.2</v>
      </c>
      <c r="O99" s="2">
        <f>'Cleaned Data'!O99</f>
        <v>155.5</v>
      </c>
      <c r="P99" s="2">
        <f>'Cleaned Data'!P99</f>
        <v>167.5</v>
      </c>
      <c r="Q99" s="2">
        <f>'Cleaned Data'!Q99</f>
        <v>156.9</v>
      </c>
      <c r="R99" s="2">
        <f>'Cleaned Data'!R99</f>
        <v>188.3</v>
      </c>
      <c r="S99" s="2">
        <f>'Cleaned Data'!S99</f>
        <v>157.19999999999999</v>
      </c>
      <c r="T99" s="2">
        <f>'Cleaned Data'!T99</f>
        <v>147.4</v>
      </c>
      <c r="U99" s="2">
        <f>'Cleaned Data'!U99</f>
        <v>155.80000000000001</v>
      </c>
      <c r="V99" s="2">
        <f>'Cleaned Data'!V99</f>
        <v>159.80000000000001</v>
      </c>
      <c r="W99" s="2">
        <f>'Cleaned Data'!W99</f>
        <v>152.4</v>
      </c>
      <c r="X99" s="2">
        <f>'Cleaned Data'!X99</f>
        <v>150.9</v>
      </c>
      <c r="Y99" s="2">
        <f>'Cleaned Data'!Y99</f>
        <v>161.30000000000001</v>
      </c>
      <c r="Z99" s="2">
        <f>'Cleaned Data'!Z99</f>
        <v>145.1</v>
      </c>
      <c r="AA99" s="2">
        <f>'Cleaned Data'!AA99</f>
        <v>151.5</v>
      </c>
      <c r="AB99" s="2">
        <f>'Cleaned Data'!AB99</f>
        <v>159.5</v>
      </c>
      <c r="AC99" s="2">
        <f>'Cleaned Data'!AC99</f>
        <v>155.80000000000001</v>
      </c>
      <c r="AD99" s="2">
        <f>'Cleaned Data'!AD99</f>
        <v>153.4</v>
      </c>
      <c r="AE99" s="2">
        <f>'Cleaned Data'!AE99</f>
        <v>156.6</v>
      </c>
    </row>
    <row r="100" spans="1:31" x14ac:dyDescent="0.25">
      <c r="A100" s="1">
        <f>'Cleaned Data'!A100</f>
        <v>44256</v>
      </c>
      <c r="B100" s="1" t="str">
        <f>'Cleaned Data'!B100</f>
        <v>Rural+Urban</v>
      </c>
      <c r="C100" s="2">
        <f>'Cleaned Data'!C100</f>
        <v>2021</v>
      </c>
      <c r="D100" s="1" t="str">
        <f>'Cleaned Data'!D100</f>
        <v>March</v>
      </c>
      <c r="E100" s="2">
        <f>'Cleaned Data'!E100</f>
        <v>144.1</v>
      </c>
      <c r="F100" s="2">
        <f>'Cleaned Data'!F100</f>
        <v>192.2</v>
      </c>
      <c r="G100" s="2">
        <f>'Cleaned Data'!G100</f>
        <v>163.80000000000001</v>
      </c>
      <c r="H100" s="2">
        <f>'Cleaned Data'!H100</f>
        <v>154.9</v>
      </c>
      <c r="I100" s="2">
        <f>'Cleaned Data'!I100</f>
        <v>163.9</v>
      </c>
      <c r="J100" s="2">
        <f>'Cleaned Data'!J100</f>
        <v>153.69999999999999</v>
      </c>
      <c r="K100" s="2">
        <f>'Cleaned Data'!K100</f>
        <v>149.5</v>
      </c>
      <c r="L100" s="2">
        <f>'Cleaned Data'!L100</f>
        <v>159.80000000000001</v>
      </c>
      <c r="M100" s="2">
        <f>'Cleaned Data'!M100</f>
        <v>112.6</v>
      </c>
      <c r="N100" s="2">
        <f>'Cleaned Data'!N100</f>
        <v>163.5</v>
      </c>
      <c r="O100" s="2">
        <f>'Cleaned Data'!O100</f>
        <v>156.5</v>
      </c>
      <c r="P100" s="2">
        <f>'Cleaned Data'!P100</f>
        <v>168.2</v>
      </c>
      <c r="Q100" s="2">
        <f>'Cleaned Data'!Q100</f>
        <v>156.69999999999999</v>
      </c>
      <c r="R100" s="2">
        <f>'Cleaned Data'!R100</f>
        <v>188.1</v>
      </c>
      <c r="S100" s="2">
        <f>'Cleaned Data'!S100</f>
        <v>157.80000000000001</v>
      </c>
      <c r="T100" s="2">
        <f>'Cleaned Data'!T100</f>
        <v>147.9</v>
      </c>
      <c r="U100" s="2">
        <f>'Cleaned Data'!U100</f>
        <v>156.4</v>
      </c>
      <c r="V100" s="2">
        <f>'Cleaned Data'!V100</f>
        <v>159.9</v>
      </c>
      <c r="W100" s="2">
        <f>'Cleaned Data'!W100</f>
        <v>155.5</v>
      </c>
      <c r="X100" s="2">
        <f>'Cleaned Data'!X100</f>
        <v>151.19999999999999</v>
      </c>
      <c r="Y100" s="2">
        <f>'Cleaned Data'!Y100</f>
        <v>161.69999999999999</v>
      </c>
      <c r="Z100" s="2">
        <f>'Cleaned Data'!Z100</f>
        <v>146.19999999999999</v>
      </c>
      <c r="AA100" s="2">
        <f>'Cleaned Data'!AA100</f>
        <v>152.6</v>
      </c>
      <c r="AB100" s="2">
        <f>'Cleaned Data'!AB100</f>
        <v>160.19999999999999</v>
      </c>
      <c r="AC100" s="2">
        <f>'Cleaned Data'!AC100</f>
        <v>153.80000000000001</v>
      </c>
      <c r="AD100" s="2">
        <f>'Cleaned Data'!AD100</f>
        <v>153.80000000000001</v>
      </c>
      <c r="AE100" s="2">
        <f>'Cleaned Data'!AE100</f>
        <v>156.80000000000001</v>
      </c>
    </row>
    <row r="101" spans="1:31" x14ac:dyDescent="0.25">
      <c r="A101" s="1">
        <f>'Cleaned Data'!A101</f>
        <v>44287</v>
      </c>
      <c r="B101" s="1" t="str">
        <f>'Cleaned Data'!B101</f>
        <v>Rural+Urban</v>
      </c>
      <c r="C101" s="2">
        <f>'Cleaned Data'!C101</f>
        <v>2021</v>
      </c>
      <c r="D101" s="1" t="str">
        <f>'Cleaned Data'!D101</f>
        <v>April</v>
      </c>
      <c r="E101" s="2">
        <f>'Cleaned Data'!E101</f>
        <v>144.30000000000001</v>
      </c>
      <c r="F101" s="2">
        <f>'Cleaned Data'!F101</f>
        <v>198</v>
      </c>
      <c r="G101" s="2">
        <f>'Cleaned Data'!G101</f>
        <v>164.6</v>
      </c>
      <c r="H101" s="2">
        <f>'Cleaned Data'!H101</f>
        <v>155.4</v>
      </c>
      <c r="I101" s="2">
        <f>'Cleaned Data'!I101</f>
        <v>170.1</v>
      </c>
      <c r="J101" s="2">
        <f>'Cleaned Data'!J101</f>
        <v>164.4</v>
      </c>
      <c r="K101" s="2">
        <f>'Cleaned Data'!K101</f>
        <v>144.1</v>
      </c>
      <c r="L101" s="2">
        <f>'Cleaned Data'!L101</f>
        <v>161.69999999999999</v>
      </c>
      <c r="M101" s="2">
        <f>'Cleaned Data'!M101</f>
        <v>113.1</v>
      </c>
      <c r="N101" s="2">
        <f>'Cleaned Data'!N101</f>
        <v>163.9</v>
      </c>
      <c r="O101" s="2">
        <f>'Cleaned Data'!O101</f>
        <v>157.6</v>
      </c>
      <c r="P101" s="2">
        <f>'Cleaned Data'!P101</f>
        <v>168.9</v>
      </c>
      <c r="Q101" s="2">
        <f>'Cleaned Data'!Q101</f>
        <v>158</v>
      </c>
      <c r="R101" s="2">
        <f>'Cleaned Data'!R101</f>
        <v>188.8</v>
      </c>
      <c r="S101" s="2">
        <f>'Cleaned Data'!S101</f>
        <v>158.80000000000001</v>
      </c>
      <c r="T101" s="2">
        <f>'Cleaned Data'!T101</f>
        <v>148.5</v>
      </c>
      <c r="U101" s="2">
        <f>'Cleaned Data'!U101</f>
        <v>157.30000000000001</v>
      </c>
      <c r="V101" s="2">
        <f>'Cleaned Data'!V101</f>
        <v>161.4</v>
      </c>
      <c r="W101" s="2">
        <f>'Cleaned Data'!W101</f>
        <v>155.6</v>
      </c>
      <c r="X101" s="2">
        <f>'Cleaned Data'!X101</f>
        <v>151.80000000000001</v>
      </c>
      <c r="Y101" s="2">
        <f>'Cleaned Data'!Y101</f>
        <v>162.30000000000001</v>
      </c>
      <c r="Z101" s="2">
        <f>'Cleaned Data'!Z101</f>
        <v>146.6</v>
      </c>
      <c r="AA101" s="2">
        <f>'Cleaned Data'!AA101</f>
        <v>153.19999999999999</v>
      </c>
      <c r="AB101" s="2">
        <f>'Cleaned Data'!AB101</f>
        <v>160.30000000000001</v>
      </c>
      <c r="AC101" s="2">
        <f>'Cleaned Data'!AC101</f>
        <v>155.4</v>
      </c>
      <c r="AD101" s="2">
        <f>'Cleaned Data'!AD101</f>
        <v>154.4</v>
      </c>
      <c r="AE101" s="2">
        <f>'Cleaned Data'!AE101</f>
        <v>157.80000000000001</v>
      </c>
    </row>
    <row r="102" spans="1:31" x14ac:dyDescent="0.25">
      <c r="A102" s="1">
        <f>'Cleaned Data'!A102</f>
        <v>44317</v>
      </c>
      <c r="B102" s="1" t="str">
        <f>'Cleaned Data'!B102</f>
        <v>Rural+Urban</v>
      </c>
      <c r="C102" s="2">
        <f>'Cleaned Data'!C102</f>
        <v>2021</v>
      </c>
      <c r="D102" s="1" t="str">
        <f>'Cleaned Data'!D102</f>
        <v>May</v>
      </c>
      <c r="E102" s="2">
        <f>'Cleaned Data'!E102</f>
        <v>146.30000000000001</v>
      </c>
      <c r="F102" s="2">
        <f>'Cleaned Data'!F102</f>
        <v>200.5</v>
      </c>
      <c r="G102" s="2">
        <f>'Cleaned Data'!G102</f>
        <v>170.3</v>
      </c>
      <c r="H102" s="2">
        <f>'Cleaned Data'!H102</f>
        <v>156.1</v>
      </c>
      <c r="I102" s="2">
        <f>'Cleaned Data'!I102</f>
        <v>178.7</v>
      </c>
      <c r="J102" s="2">
        <f>'Cleaned Data'!J102</f>
        <v>167.1</v>
      </c>
      <c r="K102" s="2">
        <f>'Cleaned Data'!K102</f>
        <v>147.9</v>
      </c>
      <c r="L102" s="2">
        <f>'Cleaned Data'!L102</f>
        <v>165.4</v>
      </c>
      <c r="M102" s="2">
        <f>'Cleaned Data'!M102</f>
        <v>114.8</v>
      </c>
      <c r="N102" s="2">
        <f>'Cleaned Data'!N102</f>
        <v>168.2</v>
      </c>
      <c r="O102" s="2">
        <f>'Cleaned Data'!O102</f>
        <v>159.30000000000001</v>
      </c>
      <c r="P102" s="2">
        <f>'Cleaned Data'!P102</f>
        <v>170.4</v>
      </c>
      <c r="Q102" s="2">
        <f>'Cleaned Data'!Q102</f>
        <v>160.69999999999999</v>
      </c>
      <c r="R102" s="2">
        <f>'Cleaned Data'!R102</f>
        <v>191.9</v>
      </c>
      <c r="S102" s="2">
        <f>'Cleaned Data'!S102</f>
        <v>161.80000000000001</v>
      </c>
      <c r="T102" s="2">
        <f>'Cleaned Data'!T102</f>
        <v>152.1</v>
      </c>
      <c r="U102" s="2">
        <f>'Cleaned Data'!U102</f>
        <v>160.4</v>
      </c>
      <c r="V102" s="2">
        <f>'Cleaned Data'!V102</f>
        <v>161.6</v>
      </c>
      <c r="W102" s="2">
        <f>'Cleaned Data'!W102</f>
        <v>159.4</v>
      </c>
      <c r="X102" s="2">
        <f>'Cleaned Data'!X102</f>
        <v>154.69999999999999</v>
      </c>
      <c r="Y102" s="2">
        <f>'Cleaned Data'!Y102</f>
        <v>165.8</v>
      </c>
      <c r="Z102" s="2">
        <f>'Cleaned Data'!Z102</f>
        <v>148.9</v>
      </c>
      <c r="AA102" s="2">
        <f>'Cleaned Data'!AA102</f>
        <v>155.80000000000001</v>
      </c>
      <c r="AB102" s="2">
        <f>'Cleaned Data'!AB102</f>
        <v>161.19999999999999</v>
      </c>
      <c r="AC102" s="2">
        <f>'Cleaned Data'!AC102</f>
        <v>158.6</v>
      </c>
      <c r="AD102" s="2">
        <f>'Cleaned Data'!AD102</f>
        <v>156.80000000000001</v>
      </c>
      <c r="AE102" s="2">
        <f>'Cleaned Data'!AE102</f>
        <v>160.4</v>
      </c>
    </row>
    <row r="103" spans="1:31" x14ac:dyDescent="0.25">
      <c r="A103" s="1">
        <f>'Cleaned Data'!A103</f>
        <v>44348</v>
      </c>
      <c r="B103" s="1" t="str">
        <f>'Cleaned Data'!B103</f>
        <v>Rural+Urban</v>
      </c>
      <c r="C103" s="2">
        <f>'Cleaned Data'!C103</f>
        <v>2021</v>
      </c>
      <c r="D103" s="1" t="str">
        <f>'Cleaned Data'!D103</f>
        <v>June</v>
      </c>
      <c r="E103" s="2">
        <f>'Cleaned Data'!E103</f>
        <v>146.69999999999999</v>
      </c>
      <c r="F103" s="2">
        <f>'Cleaned Data'!F103</f>
        <v>202</v>
      </c>
      <c r="G103" s="2">
        <f>'Cleaned Data'!G103</f>
        <v>180.7</v>
      </c>
      <c r="H103" s="2">
        <f>'Cleaned Data'!H103</f>
        <v>156.19999999999999</v>
      </c>
      <c r="I103" s="2">
        <f>'Cleaned Data'!I103</f>
        <v>183.7</v>
      </c>
      <c r="J103" s="2">
        <f>'Cleaned Data'!J103</f>
        <v>164.6</v>
      </c>
      <c r="K103" s="2">
        <f>'Cleaned Data'!K103</f>
        <v>155.4</v>
      </c>
      <c r="L103" s="2">
        <f>'Cleaned Data'!L103</f>
        <v>166</v>
      </c>
      <c r="M103" s="2">
        <f>'Cleaned Data'!M103</f>
        <v>115.1</v>
      </c>
      <c r="N103" s="2">
        <f>'Cleaned Data'!N103</f>
        <v>168.5</v>
      </c>
      <c r="O103" s="2">
        <f>'Cleaned Data'!O103</f>
        <v>160</v>
      </c>
      <c r="P103" s="2">
        <f>'Cleaned Data'!P103</f>
        <v>172.4</v>
      </c>
      <c r="Q103" s="2">
        <f>'Cleaned Data'!Q103</f>
        <v>162.6</v>
      </c>
      <c r="R103" s="2">
        <f>'Cleaned Data'!R103</f>
        <v>190.8</v>
      </c>
      <c r="S103" s="2">
        <f>'Cleaned Data'!S103</f>
        <v>162.19999999999999</v>
      </c>
      <c r="T103" s="2">
        <f>'Cleaned Data'!T103</f>
        <v>151.80000000000001</v>
      </c>
      <c r="U103" s="2">
        <f>'Cleaned Data'!U103</f>
        <v>160.69999999999999</v>
      </c>
      <c r="V103" s="2">
        <f>'Cleaned Data'!V103</f>
        <v>160.5</v>
      </c>
      <c r="W103" s="2">
        <f>'Cleaned Data'!W103</f>
        <v>159.80000000000001</v>
      </c>
      <c r="X103" s="2">
        <f>'Cleaned Data'!X103</f>
        <v>154.80000000000001</v>
      </c>
      <c r="Y103" s="2">
        <f>'Cleaned Data'!Y103</f>
        <v>166.3</v>
      </c>
      <c r="Z103" s="2">
        <f>'Cleaned Data'!Z103</f>
        <v>150.69999999999999</v>
      </c>
      <c r="AA103" s="2">
        <f>'Cleaned Data'!AA103</f>
        <v>154.9</v>
      </c>
      <c r="AB103" s="2">
        <f>'Cleaned Data'!AB103</f>
        <v>161.69999999999999</v>
      </c>
      <c r="AC103" s="2">
        <f>'Cleaned Data'!AC103</f>
        <v>158.80000000000001</v>
      </c>
      <c r="AD103" s="2">
        <f>'Cleaned Data'!AD103</f>
        <v>157.6</v>
      </c>
      <c r="AE103" s="2">
        <f>'Cleaned Data'!AE103</f>
        <v>161.30000000000001</v>
      </c>
    </row>
    <row r="104" spans="1:31" x14ac:dyDescent="0.25">
      <c r="A104" s="1">
        <f>'Cleaned Data'!A104</f>
        <v>44378</v>
      </c>
      <c r="B104" s="1" t="str">
        <f>'Cleaned Data'!B104</f>
        <v>Rural+Urban</v>
      </c>
      <c r="C104" s="2">
        <f>'Cleaned Data'!C104</f>
        <v>2021</v>
      </c>
      <c r="D104" s="1" t="str">
        <f>'Cleaned Data'!D104</f>
        <v>July</v>
      </c>
      <c r="E104" s="2">
        <f>'Cleaned Data'!E104</f>
        <v>146.4</v>
      </c>
      <c r="F104" s="2">
        <f>'Cleaned Data'!F104</f>
        <v>206.8</v>
      </c>
      <c r="G104" s="2">
        <f>'Cleaned Data'!G104</f>
        <v>182.2</v>
      </c>
      <c r="H104" s="2">
        <f>'Cleaned Data'!H104</f>
        <v>157.5</v>
      </c>
      <c r="I104" s="2">
        <f>'Cleaned Data'!I104</f>
        <v>182.1</v>
      </c>
      <c r="J104" s="2">
        <f>'Cleaned Data'!J104</f>
        <v>163.9</v>
      </c>
      <c r="K104" s="2">
        <f>'Cleaned Data'!K104</f>
        <v>164.2</v>
      </c>
      <c r="L104" s="2">
        <f>'Cleaned Data'!L104</f>
        <v>164</v>
      </c>
      <c r="M104" s="2">
        <f>'Cleaned Data'!M104</f>
        <v>114.5</v>
      </c>
      <c r="N104" s="2">
        <f>'Cleaned Data'!N104</f>
        <v>168.3</v>
      </c>
      <c r="O104" s="2">
        <f>'Cleaned Data'!O104</f>
        <v>160.9</v>
      </c>
      <c r="P104" s="2">
        <f>'Cleaned Data'!P104</f>
        <v>172.2</v>
      </c>
      <c r="Q104" s="2">
        <f>'Cleaned Data'!Q104</f>
        <v>164</v>
      </c>
      <c r="R104" s="2">
        <f>'Cleaned Data'!R104</f>
        <v>191.2</v>
      </c>
      <c r="S104" s="2">
        <f>'Cleaned Data'!S104</f>
        <v>162.80000000000001</v>
      </c>
      <c r="T104" s="2">
        <f>'Cleaned Data'!T104</f>
        <v>153.1</v>
      </c>
      <c r="U104" s="2">
        <f>'Cleaned Data'!U104</f>
        <v>161.4</v>
      </c>
      <c r="V104" s="2">
        <f>'Cleaned Data'!V104</f>
        <v>161.5</v>
      </c>
      <c r="W104" s="2">
        <f>'Cleaned Data'!W104</f>
        <v>160.69999999999999</v>
      </c>
      <c r="X104" s="2">
        <f>'Cleaned Data'!X104</f>
        <v>155.80000000000001</v>
      </c>
      <c r="Y104" s="2">
        <f>'Cleaned Data'!Y104</f>
        <v>167</v>
      </c>
      <c r="Z104" s="2">
        <f>'Cleaned Data'!Z104</f>
        <v>153.1</v>
      </c>
      <c r="AA104" s="2">
        <f>'Cleaned Data'!AA104</f>
        <v>155.30000000000001</v>
      </c>
      <c r="AB104" s="2">
        <f>'Cleaned Data'!AB104</f>
        <v>163.19999999999999</v>
      </c>
      <c r="AC104" s="2">
        <f>'Cleaned Data'!AC104</f>
        <v>160.1</v>
      </c>
      <c r="AD104" s="2">
        <f>'Cleaned Data'!AD104</f>
        <v>159</v>
      </c>
      <c r="AE104" s="2">
        <f>'Cleaned Data'!AE104</f>
        <v>162.5</v>
      </c>
    </row>
    <row r="105" spans="1:31" x14ac:dyDescent="0.25">
      <c r="A105" s="1">
        <f>'Cleaned Data'!A105</f>
        <v>44409</v>
      </c>
      <c r="B105" s="1" t="str">
        <f>'Cleaned Data'!B105</f>
        <v>Rural+Urban</v>
      </c>
      <c r="C105" s="2">
        <f>'Cleaned Data'!C105</f>
        <v>2021</v>
      </c>
      <c r="D105" s="1" t="str">
        <f>'Cleaned Data'!D105</f>
        <v>August</v>
      </c>
      <c r="E105" s="2">
        <f>'Cleaned Data'!E105</f>
        <v>146.6</v>
      </c>
      <c r="F105" s="2">
        <f>'Cleaned Data'!F105</f>
        <v>204</v>
      </c>
      <c r="G105" s="2">
        <f>'Cleaned Data'!G105</f>
        <v>172.8</v>
      </c>
      <c r="H105" s="2">
        <f>'Cleaned Data'!H105</f>
        <v>158.4</v>
      </c>
      <c r="I105" s="2">
        <f>'Cleaned Data'!I105</f>
        <v>188</v>
      </c>
      <c r="J105" s="2">
        <f>'Cleaned Data'!J105</f>
        <v>156.80000000000001</v>
      </c>
      <c r="K105" s="2">
        <f>'Cleaned Data'!K105</f>
        <v>162.19999999999999</v>
      </c>
      <c r="L105" s="2">
        <f>'Cleaned Data'!L105</f>
        <v>164.1</v>
      </c>
      <c r="M105" s="2">
        <f>'Cleaned Data'!M105</f>
        <v>119.7</v>
      </c>
      <c r="N105" s="2">
        <f>'Cleaned Data'!N105</f>
        <v>168.8</v>
      </c>
      <c r="O105" s="2">
        <f>'Cleaned Data'!O105</f>
        <v>162.69999999999999</v>
      </c>
      <c r="P105" s="2">
        <f>'Cleaned Data'!P105</f>
        <v>173.9</v>
      </c>
      <c r="Q105" s="2">
        <f>'Cleaned Data'!Q105</f>
        <v>164</v>
      </c>
      <c r="R105" s="2">
        <f>'Cleaned Data'!R105</f>
        <v>192.1</v>
      </c>
      <c r="S105" s="2">
        <f>'Cleaned Data'!S105</f>
        <v>164.5</v>
      </c>
      <c r="T105" s="2">
        <f>'Cleaned Data'!T105</f>
        <v>155.30000000000001</v>
      </c>
      <c r="U105" s="2">
        <f>'Cleaned Data'!U105</f>
        <v>163.19999999999999</v>
      </c>
      <c r="V105" s="2">
        <f>'Cleaned Data'!V105</f>
        <v>162.1</v>
      </c>
      <c r="W105" s="2">
        <f>'Cleaned Data'!W105</f>
        <v>162.6</v>
      </c>
      <c r="X105" s="2">
        <f>'Cleaned Data'!X105</f>
        <v>157.5</v>
      </c>
      <c r="Y105" s="2">
        <f>'Cleaned Data'!Y105</f>
        <v>168.4</v>
      </c>
      <c r="Z105" s="2">
        <f>'Cleaned Data'!Z105</f>
        <v>154</v>
      </c>
      <c r="AA105" s="2">
        <f>'Cleaned Data'!AA105</f>
        <v>157.6</v>
      </c>
      <c r="AB105" s="2">
        <f>'Cleaned Data'!AB105</f>
        <v>163.80000000000001</v>
      </c>
      <c r="AC105" s="2">
        <f>'Cleaned Data'!AC105</f>
        <v>160</v>
      </c>
      <c r="AD105" s="2">
        <f>'Cleaned Data'!AD105</f>
        <v>160</v>
      </c>
      <c r="AE105" s="2">
        <f>'Cleaned Data'!AE105</f>
        <v>163.19999999999999</v>
      </c>
    </row>
    <row r="106" spans="1:31" x14ac:dyDescent="0.25">
      <c r="A106" s="1">
        <f>'Cleaned Data'!A106</f>
        <v>44440</v>
      </c>
      <c r="B106" s="1" t="str">
        <f>'Cleaned Data'!B106</f>
        <v>Rural+Urban</v>
      </c>
      <c r="C106" s="2">
        <f>'Cleaned Data'!C106</f>
        <v>2021</v>
      </c>
      <c r="D106" s="1" t="str">
        <f>'Cleaned Data'!D106</f>
        <v>September</v>
      </c>
      <c r="E106" s="2">
        <f>'Cleaned Data'!E106</f>
        <v>146.6</v>
      </c>
      <c r="F106" s="2">
        <f>'Cleaned Data'!F106</f>
        <v>204</v>
      </c>
      <c r="G106" s="2">
        <f>'Cleaned Data'!G106</f>
        <v>172.8</v>
      </c>
      <c r="H106" s="2">
        <f>'Cleaned Data'!H106</f>
        <v>158.4</v>
      </c>
      <c r="I106" s="2">
        <f>'Cleaned Data'!I106</f>
        <v>188</v>
      </c>
      <c r="J106" s="2">
        <f>'Cleaned Data'!J106</f>
        <v>156.69999999999999</v>
      </c>
      <c r="K106" s="2">
        <f>'Cleaned Data'!K106</f>
        <v>162.30000000000001</v>
      </c>
      <c r="L106" s="2">
        <f>'Cleaned Data'!L106</f>
        <v>164.1</v>
      </c>
      <c r="M106" s="2">
        <f>'Cleaned Data'!M106</f>
        <v>119.7</v>
      </c>
      <c r="N106" s="2">
        <f>'Cleaned Data'!N106</f>
        <v>168.8</v>
      </c>
      <c r="O106" s="2">
        <f>'Cleaned Data'!O106</f>
        <v>162.69999999999999</v>
      </c>
      <c r="P106" s="2">
        <f>'Cleaned Data'!P106</f>
        <v>173.9</v>
      </c>
      <c r="Q106" s="2">
        <f>'Cleaned Data'!Q106</f>
        <v>164</v>
      </c>
      <c r="R106" s="2">
        <f>'Cleaned Data'!R106</f>
        <v>192.1</v>
      </c>
      <c r="S106" s="2">
        <f>'Cleaned Data'!S106</f>
        <v>164.6</v>
      </c>
      <c r="T106" s="2">
        <f>'Cleaned Data'!T106</f>
        <v>155.30000000000001</v>
      </c>
      <c r="U106" s="2">
        <f>'Cleaned Data'!U106</f>
        <v>163.30000000000001</v>
      </c>
      <c r="V106" s="2">
        <f>'Cleaned Data'!V106</f>
        <v>162.1</v>
      </c>
      <c r="W106" s="2">
        <f>'Cleaned Data'!W106</f>
        <v>162.6</v>
      </c>
      <c r="X106" s="2">
        <f>'Cleaned Data'!X106</f>
        <v>157.5</v>
      </c>
      <c r="Y106" s="2">
        <f>'Cleaned Data'!Y106</f>
        <v>168.4</v>
      </c>
      <c r="Z106" s="2">
        <f>'Cleaned Data'!Z106</f>
        <v>154</v>
      </c>
      <c r="AA106" s="2">
        <f>'Cleaned Data'!AA106</f>
        <v>157.69999999999999</v>
      </c>
      <c r="AB106" s="2">
        <f>'Cleaned Data'!AB106</f>
        <v>163.69999999999999</v>
      </c>
      <c r="AC106" s="2">
        <f>'Cleaned Data'!AC106</f>
        <v>160</v>
      </c>
      <c r="AD106" s="2">
        <f>'Cleaned Data'!AD106</f>
        <v>160</v>
      </c>
      <c r="AE106" s="2">
        <f>'Cleaned Data'!AE106</f>
        <v>163.19999999999999</v>
      </c>
    </row>
    <row r="107" spans="1:31" x14ac:dyDescent="0.25">
      <c r="A107" s="1">
        <f>'Cleaned Data'!A107</f>
        <v>44470</v>
      </c>
      <c r="B107" s="1" t="str">
        <f>'Cleaned Data'!B107</f>
        <v>Rural+Urban</v>
      </c>
      <c r="C107" s="2">
        <f>'Cleaned Data'!C107</f>
        <v>2021</v>
      </c>
      <c r="D107" s="1" t="str">
        <f>'Cleaned Data'!D107</f>
        <v>October</v>
      </c>
      <c r="E107" s="2">
        <f>'Cleaned Data'!E107</f>
        <v>147.4</v>
      </c>
      <c r="F107" s="2">
        <f>'Cleaned Data'!F107</f>
        <v>204.6</v>
      </c>
      <c r="G107" s="2">
        <f>'Cleaned Data'!G107</f>
        <v>171.2</v>
      </c>
      <c r="H107" s="2">
        <f>'Cleaned Data'!H107</f>
        <v>158.69999999999999</v>
      </c>
      <c r="I107" s="2">
        <f>'Cleaned Data'!I107</f>
        <v>190.6</v>
      </c>
      <c r="J107" s="2">
        <f>'Cleaned Data'!J107</f>
        <v>155.69999999999999</v>
      </c>
      <c r="K107" s="2">
        <f>'Cleaned Data'!K107</f>
        <v>185.3</v>
      </c>
      <c r="L107" s="2">
        <f>'Cleaned Data'!L107</f>
        <v>165.2</v>
      </c>
      <c r="M107" s="2">
        <f>'Cleaned Data'!M107</f>
        <v>121.9</v>
      </c>
      <c r="N107" s="2">
        <f>'Cleaned Data'!N107</f>
        <v>169.3</v>
      </c>
      <c r="O107" s="2">
        <f>'Cleaned Data'!O107</f>
        <v>163.19999999999999</v>
      </c>
      <c r="P107" s="2">
        <f>'Cleaned Data'!P107</f>
        <v>174.7</v>
      </c>
      <c r="Q107" s="2">
        <f>'Cleaned Data'!Q107</f>
        <v>167.7</v>
      </c>
      <c r="R107" s="2">
        <f>'Cleaned Data'!R107</f>
        <v>192.7</v>
      </c>
      <c r="S107" s="2">
        <f>'Cleaned Data'!S107</f>
        <v>165.7</v>
      </c>
      <c r="T107" s="2">
        <f>'Cleaned Data'!T107</f>
        <v>156.30000000000001</v>
      </c>
      <c r="U107" s="2">
        <f>'Cleaned Data'!U107</f>
        <v>164.3</v>
      </c>
      <c r="V107" s="2">
        <f>'Cleaned Data'!V107</f>
        <v>163.6</v>
      </c>
      <c r="W107" s="2">
        <f>'Cleaned Data'!W107</f>
        <v>164.2</v>
      </c>
      <c r="X107" s="2">
        <f>'Cleaned Data'!X107</f>
        <v>158.4</v>
      </c>
      <c r="Y107" s="2">
        <f>'Cleaned Data'!Y107</f>
        <v>169.1</v>
      </c>
      <c r="Z107" s="2">
        <f>'Cleaned Data'!Z107</f>
        <v>155.69999999999999</v>
      </c>
      <c r="AA107" s="2">
        <f>'Cleaned Data'!AA107</f>
        <v>158.6</v>
      </c>
      <c r="AB107" s="2">
        <f>'Cleaned Data'!AB107</f>
        <v>163.9</v>
      </c>
      <c r="AC107" s="2">
        <f>'Cleaned Data'!AC107</f>
        <v>160.80000000000001</v>
      </c>
      <c r="AD107" s="2">
        <f>'Cleaned Data'!AD107</f>
        <v>161</v>
      </c>
      <c r="AE107" s="2">
        <f>'Cleaned Data'!AE107</f>
        <v>165.5</v>
      </c>
    </row>
    <row r="108" spans="1:31" x14ac:dyDescent="0.25">
      <c r="A108" s="1">
        <f>'Cleaned Data'!A108</f>
        <v>44501</v>
      </c>
      <c r="B108" s="1" t="str">
        <f>'Cleaned Data'!B108</f>
        <v>Rural+Urban</v>
      </c>
      <c r="C108" s="2">
        <f>'Cleaned Data'!C108</f>
        <v>2021</v>
      </c>
      <c r="D108" s="1" t="str">
        <f>'Cleaned Data'!D108</f>
        <v>November</v>
      </c>
      <c r="E108" s="2">
        <f>'Cleaned Data'!E108</f>
        <v>148.19999999999999</v>
      </c>
      <c r="F108" s="2">
        <f>'Cleaned Data'!F108</f>
        <v>201.6</v>
      </c>
      <c r="G108" s="2">
        <f>'Cleaned Data'!G108</f>
        <v>173</v>
      </c>
      <c r="H108" s="2">
        <f>'Cleaned Data'!H108</f>
        <v>159.30000000000001</v>
      </c>
      <c r="I108" s="2">
        <f>'Cleaned Data'!I108</f>
        <v>190.1</v>
      </c>
      <c r="J108" s="2">
        <f>'Cleaned Data'!J108</f>
        <v>156.5</v>
      </c>
      <c r="K108" s="2">
        <f>'Cleaned Data'!K108</f>
        <v>199.2</v>
      </c>
      <c r="L108" s="2">
        <f>'Cleaned Data'!L108</f>
        <v>165.3</v>
      </c>
      <c r="M108" s="2">
        <f>'Cleaned Data'!M108</f>
        <v>122.4</v>
      </c>
      <c r="N108" s="2">
        <f>'Cleaned Data'!N108</f>
        <v>169.6</v>
      </c>
      <c r="O108" s="2">
        <f>'Cleaned Data'!O108</f>
        <v>163.69999999999999</v>
      </c>
      <c r="P108" s="2">
        <f>'Cleaned Data'!P108</f>
        <v>175.5</v>
      </c>
      <c r="Q108" s="2">
        <f>'Cleaned Data'!Q108</f>
        <v>169.7</v>
      </c>
      <c r="R108" s="2">
        <f>'Cleaned Data'!R108</f>
        <v>192.9</v>
      </c>
      <c r="S108" s="2">
        <f>'Cleaned Data'!S108</f>
        <v>167.2</v>
      </c>
      <c r="T108" s="2">
        <f>'Cleaned Data'!T108</f>
        <v>157.4</v>
      </c>
      <c r="U108" s="2">
        <f>'Cleaned Data'!U108</f>
        <v>165.8</v>
      </c>
      <c r="V108" s="2">
        <f>'Cleaned Data'!V108</f>
        <v>164.2</v>
      </c>
      <c r="W108" s="2">
        <f>'Cleaned Data'!W108</f>
        <v>163.9</v>
      </c>
      <c r="X108" s="2">
        <f>'Cleaned Data'!X108</f>
        <v>159.30000000000001</v>
      </c>
      <c r="Y108" s="2">
        <f>'Cleaned Data'!Y108</f>
        <v>169.9</v>
      </c>
      <c r="Z108" s="2">
        <f>'Cleaned Data'!Z108</f>
        <v>154.80000000000001</v>
      </c>
      <c r="AA108" s="2">
        <f>'Cleaned Data'!AA108</f>
        <v>159.80000000000001</v>
      </c>
      <c r="AB108" s="2">
        <f>'Cleaned Data'!AB108</f>
        <v>164.3</v>
      </c>
      <c r="AC108" s="2">
        <f>'Cleaned Data'!AC108</f>
        <v>162.19999999999999</v>
      </c>
      <c r="AD108" s="2">
        <f>'Cleaned Data'!AD108</f>
        <v>161.4</v>
      </c>
      <c r="AE108" s="2">
        <f>'Cleaned Data'!AE108</f>
        <v>166.7</v>
      </c>
    </row>
    <row r="109" spans="1:31" x14ac:dyDescent="0.25">
      <c r="A109" s="1">
        <f>'Cleaned Data'!A109</f>
        <v>44531</v>
      </c>
      <c r="B109" s="1" t="str">
        <f>'Cleaned Data'!B109</f>
        <v>Rural+Urban</v>
      </c>
      <c r="C109" s="2">
        <f>'Cleaned Data'!C109</f>
        <v>2021</v>
      </c>
      <c r="D109" s="1" t="str">
        <f>'Cleaned Data'!D109</f>
        <v>December</v>
      </c>
      <c r="E109" s="2">
        <f>'Cleaned Data'!E109</f>
        <v>148.69999999999999</v>
      </c>
      <c r="F109" s="2">
        <f>'Cleaned Data'!F109</f>
        <v>198.8</v>
      </c>
      <c r="G109" s="2">
        <f>'Cleaned Data'!G109</f>
        <v>177.9</v>
      </c>
      <c r="H109" s="2">
        <f>'Cleaned Data'!H109</f>
        <v>159.9</v>
      </c>
      <c r="I109" s="2">
        <f>'Cleaned Data'!I109</f>
        <v>187.6</v>
      </c>
      <c r="J109" s="2">
        <f>'Cleaned Data'!J109</f>
        <v>154.9</v>
      </c>
      <c r="K109" s="2">
        <f>'Cleaned Data'!K109</f>
        <v>188.3</v>
      </c>
      <c r="L109" s="2">
        <f>'Cleaned Data'!L109</f>
        <v>164.4</v>
      </c>
      <c r="M109" s="2">
        <f>'Cleaned Data'!M109</f>
        <v>121</v>
      </c>
      <c r="N109" s="2">
        <f>'Cleaned Data'!N109</f>
        <v>170.5</v>
      </c>
      <c r="O109" s="2">
        <f>'Cleaned Data'!O109</f>
        <v>164.2</v>
      </c>
      <c r="P109" s="2">
        <f>'Cleaned Data'!P109</f>
        <v>176.5</v>
      </c>
      <c r="Q109" s="2">
        <f>'Cleaned Data'!Q109</f>
        <v>168.2</v>
      </c>
      <c r="R109" s="2">
        <f>'Cleaned Data'!R109</f>
        <v>192.4</v>
      </c>
      <c r="S109" s="2">
        <f>'Cleaned Data'!S109</f>
        <v>168.5</v>
      </c>
      <c r="T109" s="2">
        <f>'Cleaned Data'!T109</f>
        <v>158.69999999999999</v>
      </c>
      <c r="U109" s="2">
        <f>'Cleaned Data'!U109</f>
        <v>167</v>
      </c>
      <c r="V109" s="2">
        <f>'Cleaned Data'!V109</f>
        <v>163.4</v>
      </c>
      <c r="W109" s="2">
        <f>'Cleaned Data'!W109</f>
        <v>164.1</v>
      </c>
      <c r="X109" s="2">
        <f>'Cleaned Data'!X109</f>
        <v>160.19999999999999</v>
      </c>
      <c r="Y109" s="2">
        <f>'Cleaned Data'!Y109</f>
        <v>170.6</v>
      </c>
      <c r="Z109" s="2">
        <f>'Cleaned Data'!Z109</f>
        <v>155.69999999999999</v>
      </c>
      <c r="AA109" s="2">
        <f>'Cleaned Data'!AA109</f>
        <v>160.6</v>
      </c>
      <c r="AB109" s="2">
        <f>'Cleaned Data'!AB109</f>
        <v>164.4</v>
      </c>
      <c r="AC109" s="2">
        <f>'Cleaned Data'!AC109</f>
        <v>162.6</v>
      </c>
      <c r="AD109" s="2">
        <f>'Cleaned Data'!AD109</f>
        <v>162</v>
      </c>
      <c r="AE109" s="2">
        <f>'Cleaned Data'!AE109</f>
        <v>166.2</v>
      </c>
    </row>
    <row r="110" spans="1:31" x14ac:dyDescent="0.25">
      <c r="A110" s="1">
        <f>'Cleaned Data'!A110</f>
        <v>44562</v>
      </c>
      <c r="B110" s="1" t="str">
        <f>'Cleaned Data'!B110</f>
        <v>Rural+Urban</v>
      </c>
      <c r="C110" s="2">
        <f>'Cleaned Data'!C110</f>
        <v>2022</v>
      </c>
      <c r="D110" s="1" t="str">
        <f>'Cleaned Data'!D110</f>
        <v>January</v>
      </c>
      <c r="E110" s="2">
        <f>'Cleaned Data'!E110</f>
        <v>149.5</v>
      </c>
      <c r="F110" s="2">
        <f>'Cleaned Data'!F110</f>
        <v>198.7</v>
      </c>
      <c r="G110" s="2">
        <f>'Cleaned Data'!G110</f>
        <v>178.8</v>
      </c>
      <c r="H110" s="2">
        <f>'Cleaned Data'!H110</f>
        <v>160.5</v>
      </c>
      <c r="I110" s="2">
        <f>'Cleaned Data'!I110</f>
        <v>184.7</v>
      </c>
      <c r="J110" s="2">
        <f>'Cleaned Data'!J110</f>
        <v>153.69999999999999</v>
      </c>
      <c r="K110" s="2">
        <f>'Cleaned Data'!K110</f>
        <v>174.3</v>
      </c>
      <c r="L110" s="2">
        <f>'Cleaned Data'!L110</f>
        <v>163.9</v>
      </c>
      <c r="M110" s="2">
        <f>'Cleaned Data'!M110</f>
        <v>120</v>
      </c>
      <c r="N110" s="2">
        <f>'Cleaned Data'!N110</f>
        <v>172.1</v>
      </c>
      <c r="O110" s="2">
        <f>'Cleaned Data'!O110</f>
        <v>164.3</v>
      </c>
      <c r="P110" s="2">
        <f>'Cleaned Data'!P110</f>
        <v>177.3</v>
      </c>
      <c r="Q110" s="2">
        <f>'Cleaned Data'!Q110</f>
        <v>166.4</v>
      </c>
      <c r="R110" s="2">
        <f>'Cleaned Data'!R110</f>
        <v>192.2</v>
      </c>
      <c r="S110" s="2">
        <f>'Cleaned Data'!S110</f>
        <v>169.9</v>
      </c>
      <c r="T110" s="2">
        <f>'Cleaned Data'!T110</f>
        <v>160.69999999999999</v>
      </c>
      <c r="U110" s="2">
        <f>'Cleaned Data'!U110</f>
        <v>168.5</v>
      </c>
      <c r="V110" s="2">
        <f>'Cleaned Data'!V110</f>
        <v>164.5</v>
      </c>
      <c r="W110" s="2">
        <f>'Cleaned Data'!W110</f>
        <v>164.2</v>
      </c>
      <c r="X110" s="2">
        <f>'Cleaned Data'!X110</f>
        <v>161.1</v>
      </c>
      <c r="Y110" s="2">
        <f>'Cleaned Data'!Y110</f>
        <v>171.4</v>
      </c>
      <c r="Z110" s="2">
        <f>'Cleaned Data'!Z110</f>
        <v>156.5</v>
      </c>
      <c r="AA110" s="2">
        <f>'Cleaned Data'!AA110</f>
        <v>161.19999999999999</v>
      </c>
      <c r="AB110" s="2">
        <f>'Cleaned Data'!AB110</f>
        <v>164.7</v>
      </c>
      <c r="AC110" s="2">
        <f>'Cleaned Data'!AC110</f>
        <v>163</v>
      </c>
      <c r="AD110" s="2">
        <f>'Cleaned Data'!AD110</f>
        <v>162.69999999999999</v>
      </c>
      <c r="AE110" s="2">
        <f>'Cleaned Data'!AE110</f>
        <v>165.7</v>
      </c>
    </row>
    <row r="111" spans="1:31" x14ac:dyDescent="0.25">
      <c r="A111" s="1">
        <f>'Cleaned Data'!A111</f>
        <v>44593</v>
      </c>
      <c r="B111" s="1" t="str">
        <f>'Cleaned Data'!B111</f>
        <v>Rural+Urban</v>
      </c>
      <c r="C111" s="2">
        <f>'Cleaned Data'!C111</f>
        <v>2022</v>
      </c>
      <c r="D111" s="1" t="str">
        <f>'Cleaned Data'!D111</f>
        <v>February</v>
      </c>
      <c r="E111" s="2">
        <f>'Cleaned Data'!E111</f>
        <v>150</v>
      </c>
      <c r="F111" s="2">
        <f>'Cleaned Data'!F111</f>
        <v>200.6</v>
      </c>
      <c r="G111" s="2">
        <f>'Cleaned Data'!G111</f>
        <v>175.8</v>
      </c>
      <c r="H111" s="2">
        <f>'Cleaned Data'!H111</f>
        <v>160.69999999999999</v>
      </c>
      <c r="I111" s="2">
        <f>'Cleaned Data'!I111</f>
        <v>184.9</v>
      </c>
      <c r="J111" s="2">
        <f>'Cleaned Data'!J111</f>
        <v>153.69999999999999</v>
      </c>
      <c r="K111" s="2">
        <f>'Cleaned Data'!K111</f>
        <v>169.7</v>
      </c>
      <c r="L111" s="2">
        <f>'Cleaned Data'!L111</f>
        <v>163.69999999999999</v>
      </c>
      <c r="M111" s="2">
        <f>'Cleaned Data'!M111</f>
        <v>118.9</v>
      </c>
      <c r="N111" s="2">
        <f>'Cleaned Data'!N111</f>
        <v>174.3</v>
      </c>
      <c r="O111" s="2">
        <f>'Cleaned Data'!O111</f>
        <v>164.7</v>
      </c>
      <c r="P111" s="2">
        <f>'Cleaned Data'!P111</f>
        <v>178</v>
      </c>
      <c r="Q111" s="2">
        <f>'Cleaned Data'!Q111</f>
        <v>166.2</v>
      </c>
      <c r="R111" s="2">
        <f>'Cleaned Data'!R111</f>
        <v>192.8</v>
      </c>
      <c r="S111" s="2">
        <f>'Cleaned Data'!S111</f>
        <v>170.8</v>
      </c>
      <c r="T111" s="2">
        <f>'Cleaned Data'!T111</f>
        <v>162.4</v>
      </c>
      <c r="U111" s="2">
        <f>'Cleaned Data'!U111</f>
        <v>169.6</v>
      </c>
      <c r="V111" s="2">
        <f>'Cleaned Data'!V111</f>
        <v>165.5</v>
      </c>
      <c r="W111" s="2">
        <f>'Cleaned Data'!W111</f>
        <v>165.7</v>
      </c>
      <c r="X111" s="2">
        <f>'Cleaned Data'!X111</f>
        <v>161.80000000000001</v>
      </c>
      <c r="Y111" s="2">
        <f>'Cleaned Data'!Y111</f>
        <v>172.2</v>
      </c>
      <c r="Z111" s="2">
        <f>'Cleaned Data'!Z111</f>
        <v>156.9</v>
      </c>
      <c r="AA111" s="2">
        <f>'Cleaned Data'!AA111</f>
        <v>162.1</v>
      </c>
      <c r="AB111" s="2">
        <f>'Cleaned Data'!AB111</f>
        <v>165.4</v>
      </c>
      <c r="AC111" s="2">
        <f>'Cleaned Data'!AC111</f>
        <v>164.4</v>
      </c>
      <c r="AD111" s="2">
        <f>'Cleaned Data'!AD111</f>
        <v>163.5</v>
      </c>
      <c r="AE111" s="2">
        <f>'Cleaned Data'!AE111</f>
        <v>166.1</v>
      </c>
    </row>
    <row r="112" spans="1:31" x14ac:dyDescent="0.25">
      <c r="A112" s="1">
        <f>'Cleaned Data'!A112</f>
        <v>44621</v>
      </c>
      <c r="B112" s="1" t="str">
        <f>'Cleaned Data'!B112</f>
        <v>Rural+Urban</v>
      </c>
      <c r="C112" s="2">
        <f>'Cleaned Data'!C112</f>
        <v>2022</v>
      </c>
      <c r="D112" s="1" t="str">
        <f>'Cleaned Data'!D112</f>
        <v>March</v>
      </c>
      <c r="E112" s="2">
        <f>'Cleaned Data'!E112</f>
        <v>151.30000000000001</v>
      </c>
      <c r="F112" s="2">
        <f>'Cleaned Data'!F112</f>
        <v>210.7</v>
      </c>
      <c r="G112" s="2">
        <f>'Cleaned Data'!G112</f>
        <v>167.8</v>
      </c>
      <c r="H112" s="2">
        <f>'Cleaned Data'!H112</f>
        <v>162.19999999999999</v>
      </c>
      <c r="I112" s="2">
        <f>'Cleaned Data'!I112</f>
        <v>194.6</v>
      </c>
      <c r="J112" s="2">
        <f>'Cleaned Data'!J112</f>
        <v>157.6</v>
      </c>
      <c r="K112" s="2">
        <f>'Cleaned Data'!K112</f>
        <v>166.9</v>
      </c>
      <c r="L112" s="2">
        <f>'Cleaned Data'!L112</f>
        <v>163.9</v>
      </c>
      <c r="M112" s="2">
        <f>'Cleaned Data'!M112</f>
        <v>118.8</v>
      </c>
      <c r="N112" s="2">
        <f>'Cleaned Data'!N112</f>
        <v>177.4</v>
      </c>
      <c r="O112" s="2">
        <f>'Cleaned Data'!O112</f>
        <v>165.3</v>
      </c>
      <c r="P112" s="2">
        <f>'Cleaned Data'!P112</f>
        <v>179.3</v>
      </c>
      <c r="Q112" s="2">
        <f>'Cleaned Data'!Q112</f>
        <v>168.4</v>
      </c>
      <c r="R112" s="2">
        <f>'Cleaned Data'!R112</f>
        <v>193.7</v>
      </c>
      <c r="S112" s="2">
        <f>'Cleaned Data'!S112</f>
        <v>172.1</v>
      </c>
      <c r="T112" s="2">
        <f>'Cleaned Data'!T112</f>
        <v>164.6</v>
      </c>
      <c r="U112" s="2">
        <f>'Cleaned Data'!U112</f>
        <v>171.1</v>
      </c>
      <c r="V112" s="2">
        <f>'Cleaned Data'!V112</f>
        <v>165.3</v>
      </c>
      <c r="W112" s="2">
        <f>'Cleaned Data'!W112</f>
        <v>167.2</v>
      </c>
      <c r="X112" s="2">
        <f>'Cleaned Data'!X112</f>
        <v>162.80000000000001</v>
      </c>
      <c r="Y112" s="2">
        <f>'Cleaned Data'!Y112</f>
        <v>173</v>
      </c>
      <c r="Z112" s="2">
        <f>'Cleaned Data'!Z112</f>
        <v>157.9</v>
      </c>
      <c r="AA112" s="2">
        <f>'Cleaned Data'!AA112</f>
        <v>163.30000000000001</v>
      </c>
      <c r="AB112" s="2">
        <f>'Cleaned Data'!AB112</f>
        <v>166</v>
      </c>
      <c r="AC112" s="2">
        <f>'Cleaned Data'!AC112</f>
        <v>167.2</v>
      </c>
      <c r="AD112" s="2">
        <f>'Cleaned Data'!AD112</f>
        <v>164.6</v>
      </c>
      <c r="AE112" s="2">
        <f>'Cleaned Data'!AE112</f>
        <v>167.7</v>
      </c>
    </row>
    <row r="113" spans="1:31" x14ac:dyDescent="0.25">
      <c r="A113" s="1">
        <f>'Cleaned Data'!A113</f>
        <v>44652</v>
      </c>
      <c r="B113" s="1" t="str">
        <f>'Cleaned Data'!B113</f>
        <v>Rural+Urban</v>
      </c>
      <c r="C113" s="2">
        <f>'Cleaned Data'!C113</f>
        <v>2022</v>
      </c>
      <c r="D113" s="1" t="str">
        <f>'Cleaned Data'!D113</f>
        <v>April</v>
      </c>
      <c r="E113" s="2">
        <f>'Cleaned Data'!E113</f>
        <v>152.9</v>
      </c>
      <c r="F113" s="2">
        <f>'Cleaned Data'!F113</f>
        <v>211.8</v>
      </c>
      <c r="G113" s="2">
        <f>'Cleaned Data'!G113</f>
        <v>164.5</v>
      </c>
      <c r="H113" s="2">
        <f>'Cleaned Data'!H113</f>
        <v>163.9</v>
      </c>
      <c r="I113" s="2">
        <f>'Cleaned Data'!I113</f>
        <v>199.5</v>
      </c>
      <c r="J113" s="2">
        <f>'Cleaned Data'!J113</f>
        <v>172.6</v>
      </c>
      <c r="K113" s="2">
        <f>'Cleaned Data'!K113</f>
        <v>166.2</v>
      </c>
      <c r="L113" s="2">
        <f>'Cleaned Data'!L113</f>
        <v>164.7</v>
      </c>
      <c r="M113" s="2">
        <f>'Cleaned Data'!M113</f>
        <v>119</v>
      </c>
      <c r="N113" s="2">
        <f>'Cleaned Data'!N113</f>
        <v>181.3</v>
      </c>
      <c r="O113" s="2">
        <f>'Cleaned Data'!O113</f>
        <v>166.2</v>
      </c>
      <c r="P113" s="2">
        <f>'Cleaned Data'!P113</f>
        <v>180.9</v>
      </c>
      <c r="Q113" s="2">
        <f>'Cleaned Data'!Q113</f>
        <v>170.8</v>
      </c>
      <c r="R113" s="2">
        <f>'Cleaned Data'!R113</f>
        <v>193.9</v>
      </c>
      <c r="S113" s="2">
        <f>'Cleaned Data'!S113</f>
        <v>173.9</v>
      </c>
      <c r="T113" s="2">
        <f>'Cleaned Data'!T113</f>
        <v>166.5</v>
      </c>
      <c r="U113" s="2">
        <f>'Cleaned Data'!U113</f>
        <v>172.8</v>
      </c>
      <c r="V113" s="2">
        <f>'Cleaned Data'!V113</f>
        <v>167</v>
      </c>
      <c r="W113" s="2">
        <f>'Cleaned Data'!W113</f>
        <v>172.2</v>
      </c>
      <c r="X113" s="2">
        <f>'Cleaned Data'!X113</f>
        <v>164</v>
      </c>
      <c r="Y113" s="2">
        <f>'Cleaned Data'!Y113</f>
        <v>174</v>
      </c>
      <c r="Z113" s="2">
        <f>'Cleaned Data'!Z113</f>
        <v>162.6</v>
      </c>
      <c r="AA113" s="2">
        <f>'Cleaned Data'!AA113</f>
        <v>164.4</v>
      </c>
      <c r="AB113" s="2">
        <f>'Cleaned Data'!AB113</f>
        <v>166.9</v>
      </c>
      <c r="AC113" s="2">
        <f>'Cleaned Data'!AC113</f>
        <v>168.8</v>
      </c>
      <c r="AD113" s="2">
        <f>'Cleaned Data'!AD113</f>
        <v>166.8</v>
      </c>
      <c r="AE113" s="2">
        <f>'Cleaned Data'!AE113</f>
        <v>170.1</v>
      </c>
    </row>
    <row r="114" spans="1:31" x14ac:dyDescent="0.25">
      <c r="A114" s="1">
        <f>'Cleaned Data'!A114</f>
        <v>44682</v>
      </c>
      <c r="B114" s="1" t="str">
        <f>'Cleaned Data'!B114</f>
        <v>Rural+Urban</v>
      </c>
      <c r="C114" s="2">
        <f>'Cleaned Data'!C114</f>
        <v>2022</v>
      </c>
      <c r="D114" s="1" t="str">
        <f>'Cleaned Data'!D114</f>
        <v>May</v>
      </c>
      <c r="E114" s="2">
        <f>'Cleaned Data'!E114</f>
        <v>154.1</v>
      </c>
      <c r="F114" s="2">
        <f>'Cleaned Data'!F114</f>
        <v>217</v>
      </c>
      <c r="G114" s="2">
        <f>'Cleaned Data'!G114</f>
        <v>162.4</v>
      </c>
      <c r="H114" s="2">
        <f>'Cleaned Data'!H114</f>
        <v>164.9</v>
      </c>
      <c r="I114" s="2">
        <f>'Cleaned Data'!I114</f>
        <v>202.4</v>
      </c>
      <c r="J114" s="2">
        <f>'Cleaned Data'!J114</f>
        <v>171</v>
      </c>
      <c r="K114" s="2">
        <f>'Cleaned Data'!K114</f>
        <v>174.9</v>
      </c>
      <c r="L114" s="2">
        <f>'Cleaned Data'!L114</f>
        <v>164.7</v>
      </c>
      <c r="M114" s="2">
        <f>'Cleaned Data'!M114</f>
        <v>119.7</v>
      </c>
      <c r="N114" s="2">
        <f>'Cleaned Data'!N114</f>
        <v>184.9</v>
      </c>
      <c r="O114" s="2">
        <f>'Cleaned Data'!O114</f>
        <v>167.1</v>
      </c>
      <c r="P114" s="2">
        <f>'Cleaned Data'!P114</f>
        <v>182.5</v>
      </c>
      <c r="Q114" s="2">
        <f>'Cleaned Data'!Q114</f>
        <v>173.3</v>
      </c>
      <c r="R114" s="2">
        <f>'Cleaned Data'!R114</f>
        <v>194.1</v>
      </c>
      <c r="S114" s="2">
        <f>'Cleaned Data'!S114</f>
        <v>175.6</v>
      </c>
      <c r="T114" s="2">
        <f>'Cleaned Data'!T114</f>
        <v>168.4</v>
      </c>
      <c r="U114" s="2">
        <f>'Cleaned Data'!U114</f>
        <v>174.6</v>
      </c>
      <c r="V114" s="2">
        <f>'Cleaned Data'!V114</f>
        <v>167.5</v>
      </c>
      <c r="W114" s="2">
        <f>'Cleaned Data'!W114</f>
        <v>174.6</v>
      </c>
      <c r="X114" s="2">
        <f>'Cleaned Data'!X114</f>
        <v>165.2</v>
      </c>
      <c r="Y114" s="2">
        <f>'Cleaned Data'!Y114</f>
        <v>174.8</v>
      </c>
      <c r="Z114" s="2">
        <f>'Cleaned Data'!Z114</f>
        <v>163</v>
      </c>
      <c r="AA114" s="2">
        <f>'Cleaned Data'!AA114</f>
        <v>165.1</v>
      </c>
      <c r="AB114" s="2">
        <f>'Cleaned Data'!AB114</f>
        <v>167.9</v>
      </c>
      <c r="AC114" s="2">
        <f>'Cleaned Data'!AC114</f>
        <v>168.4</v>
      </c>
      <c r="AD114" s="2">
        <f>'Cleaned Data'!AD114</f>
        <v>167.5</v>
      </c>
      <c r="AE114" s="2">
        <f>'Cleaned Data'!AE114</f>
        <v>171.7</v>
      </c>
    </row>
    <row r="115" spans="1:31" x14ac:dyDescent="0.25">
      <c r="A115" s="1">
        <f>'Cleaned Data'!A115</f>
        <v>44713</v>
      </c>
      <c r="B115" s="1" t="str">
        <f>'Cleaned Data'!B115</f>
        <v>Rural+Urban</v>
      </c>
      <c r="C115" s="2">
        <f>'Cleaned Data'!C115</f>
        <v>2022</v>
      </c>
      <c r="D115" s="1" t="str">
        <f>'Cleaned Data'!D115</f>
        <v>June</v>
      </c>
      <c r="E115" s="2">
        <f>'Cleaned Data'!E115</f>
        <v>155</v>
      </c>
      <c r="F115" s="2">
        <f>'Cleaned Data'!F115</f>
        <v>219.4</v>
      </c>
      <c r="G115" s="2">
        <f>'Cleaned Data'!G115</f>
        <v>170.8</v>
      </c>
      <c r="H115" s="2">
        <f>'Cleaned Data'!H115</f>
        <v>165.8</v>
      </c>
      <c r="I115" s="2">
        <f>'Cleaned Data'!I115</f>
        <v>200.9</v>
      </c>
      <c r="J115" s="2">
        <f>'Cleaned Data'!J115</f>
        <v>169.7</v>
      </c>
      <c r="K115" s="2">
        <f>'Cleaned Data'!K115</f>
        <v>182.3</v>
      </c>
      <c r="L115" s="2">
        <f>'Cleaned Data'!L115</f>
        <v>164.3</v>
      </c>
      <c r="M115" s="2">
        <f>'Cleaned Data'!M115</f>
        <v>119.9</v>
      </c>
      <c r="N115" s="2">
        <f>'Cleaned Data'!N115</f>
        <v>187.1</v>
      </c>
      <c r="O115" s="2">
        <f>'Cleaned Data'!O115</f>
        <v>167.9</v>
      </c>
      <c r="P115" s="2">
        <f>'Cleaned Data'!P115</f>
        <v>183.9</v>
      </c>
      <c r="Q115" s="2">
        <f>'Cleaned Data'!Q115</f>
        <v>174.9</v>
      </c>
      <c r="R115" s="2">
        <f>'Cleaned Data'!R115</f>
        <v>194.3</v>
      </c>
      <c r="S115" s="2">
        <f>'Cleaned Data'!S115</f>
        <v>177.1</v>
      </c>
      <c r="T115" s="2">
        <f>'Cleaned Data'!T115</f>
        <v>169.9</v>
      </c>
      <c r="U115" s="2">
        <f>'Cleaned Data'!U115</f>
        <v>176</v>
      </c>
      <c r="V115" s="2">
        <f>'Cleaned Data'!V115</f>
        <v>166.8</v>
      </c>
      <c r="W115" s="2">
        <f>'Cleaned Data'!W115</f>
        <v>176</v>
      </c>
      <c r="X115" s="2">
        <f>'Cleaned Data'!X115</f>
        <v>166.4</v>
      </c>
      <c r="Y115" s="2">
        <f>'Cleaned Data'!Y115</f>
        <v>175.4</v>
      </c>
      <c r="Z115" s="2">
        <f>'Cleaned Data'!Z115</f>
        <v>161.1</v>
      </c>
      <c r="AA115" s="2">
        <f>'Cleaned Data'!AA115</f>
        <v>165.8</v>
      </c>
      <c r="AB115" s="2">
        <f>'Cleaned Data'!AB115</f>
        <v>169</v>
      </c>
      <c r="AC115" s="2">
        <f>'Cleaned Data'!AC115</f>
        <v>169.4</v>
      </c>
      <c r="AD115" s="2">
        <f>'Cleaned Data'!AD115</f>
        <v>167.5</v>
      </c>
      <c r="AE115" s="2">
        <f>'Cleaned Data'!AE115</f>
        <v>172.6</v>
      </c>
    </row>
    <row r="116" spans="1:31" x14ac:dyDescent="0.25">
      <c r="A116" s="1">
        <f>'Cleaned Data'!A116</f>
        <v>44743</v>
      </c>
      <c r="B116" s="1" t="str">
        <f>'Cleaned Data'!B116</f>
        <v>Rural+Urban</v>
      </c>
      <c r="C116" s="2">
        <f>'Cleaned Data'!C116</f>
        <v>2022</v>
      </c>
      <c r="D116" s="1" t="str">
        <f>'Cleaned Data'!D116</f>
        <v>July</v>
      </c>
      <c r="E116" s="2">
        <f>'Cleaned Data'!E116</f>
        <v>156.5</v>
      </c>
      <c r="F116" s="2">
        <f>'Cleaned Data'!F116</f>
        <v>213</v>
      </c>
      <c r="G116" s="2">
        <f>'Cleaned Data'!G116</f>
        <v>175.2</v>
      </c>
      <c r="H116" s="2">
        <f>'Cleaned Data'!H116</f>
        <v>166.6</v>
      </c>
      <c r="I116" s="2">
        <f>'Cleaned Data'!I116</f>
        <v>195.8</v>
      </c>
      <c r="J116" s="2">
        <f>'Cleaned Data'!J116</f>
        <v>174.2</v>
      </c>
      <c r="K116" s="2">
        <f>'Cleaned Data'!K116</f>
        <v>182.1</v>
      </c>
      <c r="L116" s="2">
        <f>'Cleaned Data'!L116</f>
        <v>164.3</v>
      </c>
      <c r="M116" s="2">
        <f>'Cleaned Data'!M116</f>
        <v>120</v>
      </c>
      <c r="N116" s="2">
        <f>'Cleaned Data'!N116</f>
        <v>190</v>
      </c>
      <c r="O116" s="2">
        <f>'Cleaned Data'!O116</f>
        <v>168.4</v>
      </c>
      <c r="P116" s="2">
        <f>'Cleaned Data'!P116</f>
        <v>185.2</v>
      </c>
      <c r="Q116" s="2">
        <f>'Cleaned Data'!Q116</f>
        <v>175</v>
      </c>
      <c r="R116" s="2">
        <f>'Cleaned Data'!R116</f>
        <v>194.6</v>
      </c>
      <c r="S116" s="2">
        <f>'Cleaned Data'!S116</f>
        <v>178.3</v>
      </c>
      <c r="T116" s="2">
        <f>'Cleaned Data'!T116</f>
        <v>171.3</v>
      </c>
      <c r="U116" s="2">
        <f>'Cleaned Data'!U116</f>
        <v>177.3</v>
      </c>
      <c r="V116" s="2">
        <f>'Cleaned Data'!V116</f>
        <v>167.8</v>
      </c>
      <c r="W116" s="2">
        <f>'Cleaned Data'!W116</f>
        <v>179.6</v>
      </c>
      <c r="X116" s="2">
        <f>'Cleaned Data'!X116</f>
        <v>167.4</v>
      </c>
      <c r="Y116" s="2">
        <f>'Cleaned Data'!Y116</f>
        <v>176.1</v>
      </c>
      <c r="Z116" s="2">
        <f>'Cleaned Data'!Z116</f>
        <v>161.6</v>
      </c>
      <c r="AA116" s="2">
        <f>'Cleaned Data'!AA116</f>
        <v>166.3</v>
      </c>
      <c r="AB116" s="2">
        <f>'Cleaned Data'!AB116</f>
        <v>171.4</v>
      </c>
      <c r="AC116" s="2">
        <f>'Cleaned Data'!AC116</f>
        <v>169.7</v>
      </c>
      <c r="AD116" s="2">
        <f>'Cleaned Data'!AD116</f>
        <v>168.4</v>
      </c>
      <c r="AE116" s="2">
        <f>'Cleaned Data'!AE116</f>
        <v>173.4</v>
      </c>
    </row>
    <row r="117" spans="1:31" x14ac:dyDescent="0.25">
      <c r="A117" s="1">
        <f>'Cleaned Data'!A117</f>
        <v>44774</v>
      </c>
      <c r="B117" s="1" t="str">
        <f>'Cleaned Data'!B117</f>
        <v>Rural+Urban</v>
      </c>
      <c r="C117" s="2">
        <f>'Cleaned Data'!C117</f>
        <v>2022</v>
      </c>
      <c r="D117" s="1" t="str">
        <f>'Cleaned Data'!D117</f>
        <v>August</v>
      </c>
      <c r="E117" s="2">
        <f>'Cleaned Data'!E117</f>
        <v>160.30000000000001</v>
      </c>
      <c r="F117" s="2">
        <f>'Cleaned Data'!F117</f>
        <v>206.5</v>
      </c>
      <c r="G117" s="2">
        <f>'Cleaned Data'!G117</f>
        <v>169.2</v>
      </c>
      <c r="H117" s="2">
        <f>'Cleaned Data'!H117</f>
        <v>168.1</v>
      </c>
      <c r="I117" s="2">
        <f>'Cleaned Data'!I117</f>
        <v>192.4</v>
      </c>
      <c r="J117" s="2">
        <f>'Cleaned Data'!J117</f>
        <v>172.9</v>
      </c>
      <c r="K117" s="2">
        <f>'Cleaned Data'!K117</f>
        <v>186.7</v>
      </c>
      <c r="L117" s="2">
        <f>'Cleaned Data'!L117</f>
        <v>167.2</v>
      </c>
      <c r="M117" s="2">
        <f>'Cleaned Data'!M117</f>
        <v>120.9</v>
      </c>
      <c r="N117" s="2">
        <f>'Cleaned Data'!N117</f>
        <v>193.6</v>
      </c>
      <c r="O117" s="2">
        <f>'Cleaned Data'!O117</f>
        <v>168.8</v>
      </c>
      <c r="P117" s="2">
        <f>'Cleaned Data'!P117</f>
        <v>186.3</v>
      </c>
      <c r="Q117" s="2">
        <f>'Cleaned Data'!Q117</f>
        <v>176.3</v>
      </c>
      <c r="R117" s="2">
        <f>'Cleaned Data'!R117</f>
        <v>195</v>
      </c>
      <c r="S117" s="2">
        <f>'Cleaned Data'!S117</f>
        <v>179.5</v>
      </c>
      <c r="T117" s="2">
        <f>'Cleaned Data'!T117</f>
        <v>172.7</v>
      </c>
      <c r="U117" s="2">
        <f>'Cleaned Data'!U117</f>
        <v>178.5</v>
      </c>
      <c r="V117" s="2">
        <f>'Cleaned Data'!V117</f>
        <v>169</v>
      </c>
      <c r="W117" s="2">
        <f>'Cleaned Data'!W117</f>
        <v>178.8</v>
      </c>
      <c r="X117" s="2">
        <f>'Cleaned Data'!X117</f>
        <v>168.5</v>
      </c>
      <c r="Y117" s="2">
        <f>'Cleaned Data'!Y117</f>
        <v>176.8</v>
      </c>
      <c r="Z117" s="2">
        <f>'Cleaned Data'!Z117</f>
        <v>161.9</v>
      </c>
      <c r="AA117" s="2">
        <f>'Cleaned Data'!AA117</f>
        <v>166.9</v>
      </c>
      <c r="AB117" s="2">
        <f>'Cleaned Data'!AB117</f>
        <v>172.3</v>
      </c>
      <c r="AC117" s="2">
        <f>'Cleaned Data'!AC117</f>
        <v>171.2</v>
      </c>
      <c r="AD117" s="2">
        <f>'Cleaned Data'!AD117</f>
        <v>169.1</v>
      </c>
      <c r="AE117" s="2">
        <f>'Cleaned Data'!AE117</f>
        <v>174.3</v>
      </c>
    </row>
    <row r="118" spans="1:31" x14ac:dyDescent="0.25">
      <c r="A118" s="1">
        <f>'Cleaned Data'!A118</f>
        <v>44805</v>
      </c>
      <c r="B118" s="1" t="str">
        <f>'Cleaned Data'!B118</f>
        <v>Rural+Urban</v>
      </c>
      <c r="C118" s="2">
        <f>'Cleaned Data'!C118</f>
        <v>2022</v>
      </c>
      <c r="D118" s="1" t="str">
        <f>'Cleaned Data'!D118</f>
        <v>September</v>
      </c>
      <c r="E118" s="2">
        <f>'Cleaned Data'!E118</f>
        <v>163.5</v>
      </c>
      <c r="F118" s="2">
        <f>'Cleaned Data'!F118</f>
        <v>209.2</v>
      </c>
      <c r="G118" s="2">
        <f>'Cleaned Data'!G118</f>
        <v>169.7</v>
      </c>
      <c r="H118" s="2">
        <f>'Cleaned Data'!H118</f>
        <v>169.7</v>
      </c>
      <c r="I118" s="2">
        <f>'Cleaned Data'!I118</f>
        <v>188.7</v>
      </c>
      <c r="J118" s="2">
        <f>'Cleaned Data'!J118</f>
        <v>165.7</v>
      </c>
      <c r="K118" s="2">
        <f>'Cleaned Data'!K118</f>
        <v>191.8</v>
      </c>
      <c r="L118" s="2">
        <f>'Cleaned Data'!L118</f>
        <v>169.1</v>
      </c>
      <c r="M118" s="2">
        <f>'Cleaned Data'!M118</f>
        <v>121.6</v>
      </c>
      <c r="N118" s="2">
        <f>'Cleaned Data'!N118</f>
        <v>197.3</v>
      </c>
      <c r="O118" s="2">
        <f>'Cleaned Data'!O118</f>
        <v>169.4</v>
      </c>
      <c r="P118" s="2">
        <f>'Cleaned Data'!P118</f>
        <v>187.4</v>
      </c>
      <c r="Q118" s="2">
        <f>'Cleaned Data'!Q118</f>
        <v>177.8</v>
      </c>
      <c r="R118" s="2">
        <f>'Cleaned Data'!R118</f>
        <v>195.9</v>
      </c>
      <c r="S118" s="2">
        <f>'Cleaned Data'!S118</f>
        <v>180.9</v>
      </c>
      <c r="T118" s="2">
        <f>'Cleaned Data'!T118</f>
        <v>174.3</v>
      </c>
      <c r="U118" s="2">
        <f>'Cleaned Data'!U118</f>
        <v>179.9</v>
      </c>
      <c r="V118" s="2">
        <f>'Cleaned Data'!V118</f>
        <v>169.5</v>
      </c>
      <c r="W118" s="2">
        <f>'Cleaned Data'!W118</f>
        <v>179.5</v>
      </c>
      <c r="X118" s="2">
        <f>'Cleaned Data'!X118</f>
        <v>169.5</v>
      </c>
      <c r="Y118" s="2">
        <f>'Cleaned Data'!Y118</f>
        <v>177.8</v>
      </c>
      <c r="Z118" s="2">
        <f>'Cleaned Data'!Z118</f>
        <v>162.30000000000001</v>
      </c>
      <c r="AA118" s="2">
        <f>'Cleaned Data'!AA118</f>
        <v>167.6</v>
      </c>
      <c r="AB118" s="2">
        <f>'Cleaned Data'!AB118</f>
        <v>173.1</v>
      </c>
      <c r="AC118" s="2">
        <f>'Cleaned Data'!AC118</f>
        <v>170.9</v>
      </c>
      <c r="AD118" s="2">
        <f>'Cleaned Data'!AD118</f>
        <v>169.7</v>
      </c>
      <c r="AE118" s="2">
        <f>'Cleaned Data'!AE118</f>
        <v>175.3</v>
      </c>
    </row>
    <row r="119" spans="1:31" x14ac:dyDescent="0.25">
      <c r="A119" s="1">
        <f>'Cleaned Data'!A119</f>
        <v>44835</v>
      </c>
      <c r="B119" s="1" t="str">
        <f>'Cleaned Data'!B119</f>
        <v>Rural+Urban</v>
      </c>
      <c r="C119" s="2">
        <f>'Cleaned Data'!C119</f>
        <v>2022</v>
      </c>
      <c r="D119" s="1" t="str">
        <f>'Cleaned Data'!D119</f>
        <v>October</v>
      </c>
      <c r="E119" s="2">
        <f>'Cleaned Data'!E119</f>
        <v>165.2</v>
      </c>
      <c r="F119" s="2">
        <f>'Cleaned Data'!F119</f>
        <v>210.9</v>
      </c>
      <c r="G119" s="2">
        <f>'Cleaned Data'!G119</f>
        <v>170.9</v>
      </c>
      <c r="H119" s="2">
        <f>'Cleaned Data'!H119</f>
        <v>170.9</v>
      </c>
      <c r="I119" s="2">
        <f>'Cleaned Data'!I119</f>
        <v>186.5</v>
      </c>
      <c r="J119" s="2">
        <f>'Cleaned Data'!J119</f>
        <v>163.80000000000001</v>
      </c>
      <c r="K119" s="2">
        <f>'Cleaned Data'!K119</f>
        <v>199.7</v>
      </c>
      <c r="L119" s="2">
        <f>'Cleaned Data'!L119</f>
        <v>169.8</v>
      </c>
      <c r="M119" s="2">
        <f>'Cleaned Data'!M119</f>
        <v>121.9</v>
      </c>
      <c r="N119" s="2">
        <f>'Cleaned Data'!N119</f>
        <v>199.9</v>
      </c>
      <c r="O119" s="2">
        <f>'Cleaned Data'!O119</f>
        <v>169.9</v>
      </c>
      <c r="P119" s="2">
        <f>'Cleaned Data'!P119</f>
        <v>188.3</v>
      </c>
      <c r="Q119" s="2">
        <f>'Cleaned Data'!Q119</f>
        <v>179.6</v>
      </c>
      <c r="R119" s="2">
        <f>'Cleaned Data'!R119</f>
        <v>196.3</v>
      </c>
      <c r="S119" s="2">
        <f>'Cleaned Data'!S119</f>
        <v>181.9</v>
      </c>
      <c r="T119" s="2">
        <f>'Cleaned Data'!T119</f>
        <v>175.3</v>
      </c>
      <c r="U119" s="2">
        <f>'Cleaned Data'!U119</f>
        <v>181</v>
      </c>
      <c r="V119" s="2">
        <f>'Cleaned Data'!V119</f>
        <v>171.2</v>
      </c>
      <c r="W119" s="2">
        <f>'Cleaned Data'!W119</f>
        <v>180.5</v>
      </c>
      <c r="X119" s="2">
        <f>'Cleaned Data'!X119</f>
        <v>170.4</v>
      </c>
      <c r="Y119" s="2">
        <f>'Cleaned Data'!Y119</f>
        <v>178.7</v>
      </c>
      <c r="Z119" s="2">
        <f>'Cleaned Data'!Z119</f>
        <v>162.9</v>
      </c>
      <c r="AA119" s="2">
        <f>'Cleaned Data'!AA119</f>
        <v>168.2</v>
      </c>
      <c r="AB119" s="2">
        <f>'Cleaned Data'!AB119</f>
        <v>173.4</v>
      </c>
      <c r="AC119" s="2">
        <f>'Cleaned Data'!AC119</f>
        <v>172.1</v>
      </c>
      <c r="AD119" s="2">
        <f>'Cleaned Data'!AD119</f>
        <v>170.5</v>
      </c>
      <c r="AE119" s="2">
        <f>'Cleaned Data'!AE119</f>
        <v>176.7</v>
      </c>
    </row>
    <row r="120" spans="1:31" x14ac:dyDescent="0.25">
      <c r="A120" s="1">
        <f>'Cleaned Data'!A120</f>
        <v>44866</v>
      </c>
      <c r="B120" s="1" t="str">
        <f>'Cleaned Data'!B120</f>
        <v>Rural+Urban</v>
      </c>
      <c r="C120" s="2">
        <f>'Cleaned Data'!C120</f>
        <v>2022</v>
      </c>
      <c r="D120" s="1" t="str">
        <f>'Cleaned Data'!D120</f>
        <v>November</v>
      </c>
      <c r="E120" s="2">
        <f>'Cleaned Data'!E120</f>
        <v>167.4</v>
      </c>
      <c r="F120" s="2">
        <f>'Cleaned Data'!F120</f>
        <v>209.4</v>
      </c>
      <c r="G120" s="2">
        <f>'Cleaned Data'!G120</f>
        <v>181.4</v>
      </c>
      <c r="H120" s="2">
        <f>'Cleaned Data'!H120</f>
        <v>172.3</v>
      </c>
      <c r="I120" s="2">
        <f>'Cleaned Data'!I120</f>
        <v>188.9</v>
      </c>
      <c r="J120" s="2">
        <f>'Cleaned Data'!J120</f>
        <v>160.69999999999999</v>
      </c>
      <c r="K120" s="2">
        <f>'Cleaned Data'!K120</f>
        <v>183.1</v>
      </c>
      <c r="L120" s="2">
        <f>'Cleaned Data'!L120</f>
        <v>170.5</v>
      </c>
      <c r="M120" s="2">
        <f>'Cleaned Data'!M120</f>
        <v>122.1</v>
      </c>
      <c r="N120" s="2">
        <f>'Cleaned Data'!N120</f>
        <v>202.8</v>
      </c>
      <c r="O120" s="2">
        <f>'Cleaned Data'!O120</f>
        <v>170.4</v>
      </c>
      <c r="P120" s="2">
        <f>'Cleaned Data'!P120</f>
        <v>189.5</v>
      </c>
      <c r="Q120" s="2">
        <f>'Cleaned Data'!Q120</f>
        <v>178.3</v>
      </c>
      <c r="R120" s="2">
        <f>'Cleaned Data'!R120</f>
        <v>196.9</v>
      </c>
      <c r="S120" s="2">
        <f>'Cleaned Data'!S120</f>
        <v>183.1</v>
      </c>
      <c r="T120" s="2">
        <f>'Cleaned Data'!T120</f>
        <v>176.2</v>
      </c>
      <c r="U120" s="2">
        <f>'Cleaned Data'!U120</f>
        <v>182.1</v>
      </c>
      <c r="V120" s="2">
        <f>'Cleaned Data'!V120</f>
        <v>171.8</v>
      </c>
      <c r="W120" s="2">
        <f>'Cleaned Data'!W120</f>
        <v>181.3</v>
      </c>
      <c r="X120" s="2">
        <f>'Cleaned Data'!X120</f>
        <v>171.4</v>
      </c>
      <c r="Y120" s="2">
        <f>'Cleaned Data'!Y120</f>
        <v>179.8</v>
      </c>
      <c r="Z120" s="2">
        <f>'Cleaned Data'!Z120</f>
        <v>163</v>
      </c>
      <c r="AA120" s="2">
        <f>'Cleaned Data'!AA120</f>
        <v>168.5</v>
      </c>
      <c r="AB120" s="2">
        <f>'Cleaned Data'!AB120</f>
        <v>173.7</v>
      </c>
      <c r="AC120" s="2">
        <f>'Cleaned Data'!AC120</f>
        <v>173.6</v>
      </c>
      <c r="AD120" s="2">
        <f>'Cleaned Data'!AD120</f>
        <v>171.1</v>
      </c>
      <c r="AE120" s="2">
        <f>'Cleaned Data'!AE120</f>
        <v>176.5</v>
      </c>
    </row>
    <row r="121" spans="1:31" x14ac:dyDescent="0.25">
      <c r="A121" s="1">
        <f>'Cleaned Data'!A121</f>
        <v>44896</v>
      </c>
      <c r="B121" s="1" t="str">
        <f>'Cleaned Data'!B121</f>
        <v>Rural+Urban</v>
      </c>
      <c r="C121" s="2">
        <f>'Cleaned Data'!C121</f>
        <v>2022</v>
      </c>
      <c r="D121" s="1" t="str">
        <f>'Cleaned Data'!D121</f>
        <v>December</v>
      </c>
      <c r="E121" s="2">
        <f>'Cleaned Data'!E121</f>
        <v>169.2</v>
      </c>
      <c r="F121" s="2">
        <f>'Cleaned Data'!F121</f>
        <v>209</v>
      </c>
      <c r="G121" s="2">
        <f>'Cleaned Data'!G121</f>
        <v>190.2</v>
      </c>
      <c r="H121" s="2">
        <f>'Cleaned Data'!H121</f>
        <v>173.6</v>
      </c>
      <c r="I121" s="2">
        <f>'Cleaned Data'!I121</f>
        <v>188.5</v>
      </c>
      <c r="J121" s="2">
        <f>'Cleaned Data'!J121</f>
        <v>158</v>
      </c>
      <c r="K121" s="2">
        <f>'Cleaned Data'!K121</f>
        <v>159.9</v>
      </c>
      <c r="L121" s="2">
        <f>'Cleaned Data'!L121</f>
        <v>170.8</v>
      </c>
      <c r="M121" s="2">
        <f>'Cleaned Data'!M121</f>
        <v>121.8</v>
      </c>
      <c r="N121" s="2">
        <f>'Cleaned Data'!N121</f>
        <v>205.2</v>
      </c>
      <c r="O121" s="2">
        <f>'Cleaned Data'!O121</f>
        <v>171</v>
      </c>
      <c r="P121" s="2">
        <f>'Cleaned Data'!P121</f>
        <v>190.3</v>
      </c>
      <c r="Q121" s="2">
        <f>'Cleaned Data'!Q121</f>
        <v>175.9</v>
      </c>
      <c r="R121" s="2">
        <f>'Cleaned Data'!R121</f>
        <v>197.3</v>
      </c>
      <c r="S121" s="2">
        <f>'Cleaned Data'!S121</f>
        <v>184</v>
      </c>
      <c r="T121" s="2">
        <f>'Cleaned Data'!T121</f>
        <v>177</v>
      </c>
      <c r="U121" s="2">
        <f>'Cleaned Data'!U121</f>
        <v>183</v>
      </c>
      <c r="V121" s="2">
        <f>'Cleaned Data'!V121</f>
        <v>170.7</v>
      </c>
      <c r="W121" s="2">
        <f>'Cleaned Data'!W121</f>
        <v>182</v>
      </c>
      <c r="X121" s="2">
        <f>'Cleaned Data'!X121</f>
        <v>172.1</v>
      </c>
      <c r="Y121" s="2">
        <f>'Cleaned Data'!Y121</f>
        <v>181.1</v>
      </c>
      <c r="Z121" s="2">
        <f>'Cleaned Data'!Z121</f>
        <v>163.4</v>
      </c>
      <c r="AA121" s="2">
        <f>'Cleaned Data'!AA121</f>
        <v>168.9</v>
      </c>
      <c r="AB121" s="2">
        <f>'Cleaned Data'!AB121</f>
        <v>174.1</v>
      </c>
      <c r="AC121" s="2">
        <f>'Cleaned Data'!AC121</f>
        <v>175.8</v>
      </c>
      <c r="AD121" s="2">
        <f>'Cleaned Data'!AD121</f>
        <v>172</v>
      </c>
      <c r="AE121" s="2">
        <f>'Cleaned Data'!AE121</f>
        <v>175.7</v>
      </c>
    </row>
    <row r="122" spans="1:31" x14ac:dyDescent="0.25">
      <c r="A122" s="1">
        <f>'Cleaned Data'!A122</f>
        <v>44927</v>
      </c>
      <c r="B122" s="1" t="str">
        <f>'Cleaned Data'!B122</f>
        <v>Rural+Urban</v>
      </c>
      <c r="C122" s="2">
        <f>'Cleaned Data'!C122</f>
        <v>2023</v>
      </c>
      <c r="D122" s="1" t="str">
        <f>'Cleaned Data'!D122</f>
        <v>January</v>
      </c>
      <c r="E122" s="2">
        <f>'Cleaned Data'!E122</f>
        <v>173.8</v>
      </c>
      <c r="F122" s="2">
        <f>'Cleaned Data'!F122</f>
        <v>210.7</v>
      </c>
      <c r="G122" s="2">
        <f>'Cleaned Data'!G122</f>
        <v>194.5</v>
      </c>
      <c r="H122" s="2">
        <f>'Cleaned Data'!H122</f>
        <v>174.6</v>
      </c>
      <c r="I122" s="2">
        <f>'Cleaned Data'!I122</f>
        <v>187.2</v>
      </c>
      <c r="J122" s="2">
        <f>'Cleaned Data'!J122</f>
        <v>158.30000000000001</v>
      </c>
      <c r="K122" s="2">
        <f>'Cleaned Data'!K122</f>
        <v>153.9</v>
      </c>
      <c r="L122" s="2">
        <f>'Cleaned Data'!L122</f>
        <v>170.9</v>
      </c>
      <c r="M122" s="2">
        <f>'Cleaned Data'!M122</f>
        <v>121.1</v>
      </c>
      <c r="N122" s="2">
        <f>'Cleaned Data'!N122</f>
        <v>208.4</v>
      </c>
      <c r="O122" s="2">
        <f>'Cleaned Data'!O122</f>
        <v>171.4</v>
      </c>
      <c r="P122" s="2">
        <f>'Cleaned Data'!P122</f>
        <v>191.2</v>
      </c>
      <c r="Q122" s="2">
        <f>'Cleaned Data'!Q122</f>
        <v>176.7</v>
      </c>
      <c r="R122" s="2">
        <f>'Cleaned Data'!R122</f>
        <v>198.2</v>
      </c>
      <c r="S122" s="2">
        <f>'Cleaned Data'!S122</f>
        <v>184.9</v>
      </c>
      <c r="T122" s="2">
        <f>'Cleaned Data'!T122</f>
        <v>177.6</v>
      </c>
      <c r="U122" s="2">
        <f>'Cleaned Data'!U122</f>
        <v>183.8</v>
      </c>
      <c r="V122" s="2">
        <f>'Cleaned Data'!V122</f>
        <v>172.1</v>
      </c>
      <c r="W122" s="2">
        <f>'Cleaned Data'!W122</f>
        <v>182</v>
      </c>
      <c r="X122" s="2">
        <f>'Cleaned Data'!X122</f>
        <v>172.9</v>
      </c>
      <c r="Y122" s="2">
        <f>'Cleaned Data'!Y122</f>
        <v>182.3</v>
      </c>
      <c r="Z122" s="2">
        <f>'Cleaned Data'!Z122</f>
        <v>163.6</v>
      </c>
      <c r="AA122" s="2">
        <f>'Cleaned Data'!AA122</f>
        <v>169.5</v>
      </c>
      <c r="AB122" s="2">
        <f>'Cleaned Data'!AB122</f>
        <v>174.3</v>
      </c>
      <c r="AC122" s="2">
        <f>'Cleaned Data'!AC122</f>
        <v>178.6</v>
      </c>
      <c r="AD122" s="2">
        <f>'Cleaned Data'!AD122</f>
        <v>172.8</v>
      </c>
      <c r="AE122" s="2">
        <f>'Cleaned Data'!AE122</f>
        <v>176.5</v>
      </c>
    </row>
    <row r="123" spans="1:31" x14ac:dyDescent="0.25">
      <c r="A123" s="1">
        <f>'Cleaned Data'!A123</f>
        <v>44958</v>
      </c>
      <c r="B123" s="1" t="str">
        <f>'Cleaned Data'!B123</f>
        <v>Rural+Urban</v>
      </c>
      <c r="C123" s="2">
        <f>'Cleaned Data'!C123</f>
        <v>2023</v>
      </c>
      <c r="D123" s="1" t="str">
        <f>'Cleaned Data'!D123</f>
        <v>February</v>
      </c>
      <c r="E123" s="2">
        <f>'Cleaned Data'!E123</f>
        <v>174.4</v>
      </c>
      <c r="F123" s="2">
        <f>'Cleaned Data'!F123</f>
        <v>207.7</v>
      </c>
      <c r="G123" s="2">
        <f>'Cleaned Data'!G123</f>
        <v>175.2</v>
      </c>
      <c r="H123" s="2">
        <f>'Cleaned Data'!H123</f>
        <v>177.3</v>
      </c>
      <c r="I123" s="2">
        <f>'Cleaned Data'!I123</f>
        <v>179.3</v>
      </c>
      <c r="J123" s="2">
        <f>'Cleaned Data'!J123</f>
        <v>169.5</v>
      </c>
      <c r="K123" s="2">
        <f>'Cleaned Data'!K123</f>
        <v>152.69999999999999</v>
      </c>
      <c r="L123" s="2">
        <f>'Cleaned Data'!L123</f>
        <v>171</v>
      </c>
      <c r="M123" s="2">
        <f>'Cleaned Data'!M123</f>
        <v>120</v>
      </c>
      <c r="N123" s="2">
        <f>'Cleaned Data'!N123</f>
        <v>209.7</v>
      </c>
      <c r="O123" s="2">
        <f>'Cleaned Data'!O123</f>
        <v>172.3</v>
      </c>
      <c r="P123" s="2">
        <f>'Cleaned Data'!P123</f>
        <v>193</v>
      </c>
      <c r="Q123" s="2">
        <f>'Cleaned Data'!Q123</f>
        <v>177</v>
      </c>
      <c r="R123" s="2">
        <f>'Cleaned Data'!R123</f>
        <v>199.5</v>
      </c>
      <c r="S123" s="2">
        <f>'Cleaned Data'!S123</f>
        <v>186.2</v>
      </c>
      <c r="T123" s="2">
        <f>'Cleaned Data'!T123</f>
        <v>178.7</v>
      </c>
      <c r="U123" s="2">
        <f>'Cleaned Data'!U123</f>
        <v>185.1</v>
      </c>
      <c r="V123" s="2">
        <f>'Cleaned Data'!V123</f>
        <v>173.5</v>
      </c>
      <c r="W123" s="2">
        <f>'Cleaned Data'!W123</f>
        <v>182.1</v>
      </c>
      <c r="X123" s="2">
        <f>'Cleaned Data'!X123</f>
        <v>174.2</v>
      </c>
      <c r="Y123" s="2">
        <f>'Cleaned Data'!Y123</f>
        <v>184.4</v>
      </c>
      <c r="Z123" s="2">
        <f>'Cleaned Data'!Z123</f>
        <v>164.2</v>
      </c>
      <c r="AA123" s="2">
        <f>'Cleaned Data'!AA123</f>
        <v>170.3</v>
      </c>
      <c r="AB123" s="2">
        <f>'Cleaned Data'!AB123</f>
        <v>175</v>
      </c>
      <c r="AC123" s="2">
        <f>'Cleaned Data'!AC123</f>
        <v>181</v>
      </c>
      <c r="AD123" s="2">
        <f>'Cleaned Data'!AD123</f>
        <v>174.1</v>
      </c>
      <c r="AE123" s="2">
        <f>'Cleaned Data'!AE123</f>
        <v>177.2</v>
      </c>
    </row>
    <row r="124" spans="1:31" x14ac:dyDescent="0.25">
      <c r="A124" s="1">
        <f>'Cleaned Data'!A124</f>
        <v>44986</v>
      </c>
      <c r="B124" s="1" t="str">
        <f>'Cleaned Data'!B124</f>
        <v>Rural+Urban</v>
      </c>
      <c r="C124" s="2">
        <f>'Cleaned Data'!C124</f>
        <v>2023</v>
      </c>
      <c r="D124" s="1" t="str">
        <f>'Cleaned Data'!D124</f>
        <v>March</v>
      </c>
      <c r="E124" s="2">
        <f>'Cleaned Data'!E124</f>
        <v>174.4</v>
      </c>
      <c r="F124" s="2">
        <f>'Cleaned Data'!F124</f>
        <v>207.7</v>
      </c>
      <c r="G124" s="2">
        <f>'Cleaned Data'!G124</f>
        <v>175.2</v>
      </c>
      <c r="H124" s="2">
        <f>'Cleaned Data'!H124</f>
        <v>177.3</v>
      </c>
      <c r="I124" s="2">
        <f>'Cleaned Data'!I124</f>
        <v>179.2</v>
      </c>
      <c r="J124" s="2">
        <f>'Cleaned Data'!J124</f>
        <v>169.5</v>
      </c>
      <c r="K124" s="2">
        <f>'Cleaned Data'!K124</f>
        <v>152.80000000000001</v>
      </c>
      <c r="L124" s="2">
        <f>'Cleaned Data'!L124</f>
        <v>171.1</v>
      </c>
      <c r="M124" s="2">
        <f>'Cleaned Data'!M124</f>
        <v>120</v>
      </c>
      <c r="N124" s="2">
        <f>'Cleaned Data'!N124</f>
        <v>209.7</v>
      </c>
      <c r="O124" s="2">
        <f>'Cleaned Data'!O124</f>
        <v>172.3</v>
      </c>
      <c r="P124" s="2">
        <f>'Cleaned Data'!P124</f>
        <v>193</v>
      </c>
      <c r="Q124" s="2">
        <f>'Cleaned Data'!Q124</f>
        <v>177</v>
      </c>
      <c r="R124" s="2">
        <f>'Cleaned Data'!R124</f>
        <v>199.5</v>
      </c>
      <c r="S124" s="2">
        <f>'Cleaned Data'!S124</f>
        <v>186.1</v>
      </c>
      <c r="T124" s="2">
        <f>'Cleaned Data'!T124</f>
        <v>178.7</v>
      </c>
      <c r="U124" s="2">
        <f>'Cleaned Data'!U124</f>
        <v>185.1</v>
      </c>
      <c r="V124" s="2">
        <f>'Cleaned Data'!V124</f>
        <v>173.5</v>
      </c>
      <c r="W124" s="2">
        <f>'Cleaned Data'!W124</f>
        <v>181.9</v>
      </c>
      <c r="X124" s="2">
        <f>'Cleaned Data'!X124</f>
        <v>174.2</v>
      </c>
      <c r="Y124" s="2">
        <f>'Cleaned Data'!Y124</f>
        <v>184.4</v>
      </c>
      <c r="Z124" s="2">
        <f>'Cleaned Data'!Z124</f>
        <v>164.2</v>
      </c>
      <c r="AA124" s="2">
        <f>'Cleaned Data'!AA124</f>
        <v>170.3</v>
      </c>
      <c r="AB124" s="2">
        <f>'Cleaned Data'!AB124</f>
        <v>175</v>
      </c>
      <c r="AC124" s="2">
        <f>'Cleaned Data'!AC124</f>
        <v>181</v>
      </c>
      <c r="AD124" s="2">
        <f>'Cleaned Data'!AD124</f>
        <v>174.1</v>
      </c>
      <c r="AE124" s="2">
        <f>'Cleaned Data'!AE124</f>
        <v>177.2</v>
      </c>
    </row>
    <row r="125" spans="1:31" x14ac:dyDescent="0.25">
      <c r="A125" s="1">
        <f>'Cleaned Data'!A125</f>
        <v>45017</v>
      </c>
      <c r="B125" s="1" t="str">
        <f>'Cleaned Data'!B125</f>
        <v>Rural+Urban</v>
      </c>
      <c r="C125" s="2">
        <f>'Cleaned Data'!C125</f>
        <v>2023</v>
      </c>
      <c r="D125" s="1" t="str">
        <f>'Cleaned Data'!D125</f>
        <v>April</v>
      </c>
      <c r="E125" s="2">
        <f>'Cleaned Data'!E125</f>
        <v>173.8</v>
      </c>
      <c r="F125" s="2">
        <f>'Cleaned Data'!F125</f>
        <v>209.3</v>
      </c>
      <c r="G125" s="2">
        <f>'Cleaned Data'!G125</f>
        <v>169.6</v>
      </c>
      <c r="H125" s="2">
        <f>'Cleaned Data'!H125</f>
        <v>178.4</v>
      </c>
      <c r="I125" s="2">
        <f>'Cleaned Data'!I125</f>
        <v>174.9</v>
      </c>
      <c r="J125" s="2">
        <f>'Cleaned Data'!J125</f>
        <v>176.3</v>
      </c>
      <c r="K125" s="2">
        <f>'Cleaned Data'!K125</f>
        <v>155.4</v>
      </c>
      <c r="L125" s="2">
        <f>'Cleaned Data'!L125</f>
        <v>173.4</v>
      </c>
      <c r="M125" s="2">
        <f>'Cleaned Data'!M125</f>
        <v>121.3</v>
      </c>
      <c r="N125" s="2">
        <f>'Cleaned Data'!N125</f>
        <v>212.9</v>
      </c>
      <c r="O125" s="2">
        <f>'Cleaned Data'!O125</f>
        <v>172.9</v>
      </c>
      <c r="P125" s="2">
        <f>'Cleaned Data'!P125</f>
        <v>193.5</v>
      </c>
      <c r="Q125" s="2">
        <f>'Cleaned Data'!Q125</f>
        <v>177.9</v>
      </c>
      <c r="R125" s="2">
        <f>'Cleaned Data'!R125</f>
        <v>200.6</v>
      </c>
      <c r="S125" s="2">
        <f>'Cleaned Data'!S125</f>
        <v>186.9</v>
      </c>
      <c r="T125" s="2">
        <f>'Cleaned Data'!T125</f>
        <v>179.2</v>
      </c>
      <c r="U125" s="2">
        <f>'Cleaned Data'!U125</f>
        <v>185.7</v>
      </c>
      <c r="V125" s="2">
        <f>'Cleaned Data'!V125</f>
        <v>175.2</v>
      </c>
      <c r="W125" s="2">
        <f>'Cleaned Data'!W125</f>
        <v>181.7</v>
      </c>
      <c r="X125" s="2">
        <f>'Cleaned Data'!X125</f>
        <v>174.6</v>
      </c>
      <c r="Y125" s="2">
        <f>'Cleaned Data'!Y125</f>
        <v>185</v>
      </c>
      <c r="Z125" s="2">
        <f>'Cleaned Data'!Z125</f>
        <v>164.5</v>
      </c>
      <c r="AA125" s="2">
        <f>'Cleaned Data'!AA125</f>
        <v>170.7</v>
      </c>
      <c r="AB125" s="2">
        <f>'Cleaned Data'!AB125</f>
        <v>176.4</v>
      </c>
      <c r="AC125" s="2">
        <f>'Cleaned Data'!AC125</f>
        <v>184</v>
      </c>
      <c r="AD125" s="2">
        <f>'Cleaned Data'!AD125</f>
        <v>175</v>
      </c>
      <c r="AE125" s="2">
        <f>'Cleaned Data'!AE125</f>
        <v>178.1</v>
      </c>
    </row>
    <row r="126" spans="1:31" x14ac:dyDescent="0.25">
      <c r="A126" s="1">
        <f>'Cleaned Data'!A126</f>
        <v>45047</v>
      </c>
      <c r="B126" s="1" t="str">
        <f>'Cleaned Data'!B126</f>
        <v>Rural+Urban</v>
      </c>
      <c r="C126" s="2">
        <f>'Cleaned Data'!C126</f>
        <v>2023</v>
      </c>
      <c r="D126" s="1" t="str">
        <f>'Cleaned Data'!D126</f>
        <v>May</v>
      </c>
      <c r="E126" s="2">
        <f>'Cleaned Data'!E126</f>
        <v>173.7</v>
      </c>
      <c r="F126" s="2">
        <f>'Cleaned Data'!F126</f>
        <v>214.3</v>
      </c>
      <c r="G126" s="2">
        <f>'Cleaned Data'!G126</f>
        <v>173.2</v>
      </c>
      <c r="H126" s="2">
        <f>'Cleaned Data'!H126</f>
        <v>179.5</v>
      </c>
      <c r="I126" s="2">
        <f>'Cleaned Data'!I126</f>
        <v>170</v>
      </c>
      <c r="J126" s="2">
        <f>'Cleaned Data'!J126</f>
        <v>172.2</v>
      </c>
      <c r="K126" s="2">
        <f>'Cleaned Data'!K126</f>
        <v>161</v>
      </c>
      <c r="L126" s="2">
        <f>'Cleaned Data'!L126</f>
        <v>175.6</v>
      </c>
      <c r="M126" s="2">
        <f>'Cleaned Data'!M126</f>
        <v>122.7</v>
      </c>
      <c r="N126" s="2">
        <f>'Cleaned Data'!N126</f>
        <v>218</v>
      </c>
      <c r="O126" s="2">
        <f>'Cleaned Data'!O126</f>
        <v>173.4</v>
      </c>
      <c r="P126" s="2">
        <f>'Cleaned Data'!P126</f>
        <v>194.2</v>
      </c>
      <c r="Q126" s="2">
        <f>'Cleaned Data'!Q126</f>
        <v>179.1</v>
      </c>
      <c r="R126" s="2">
        <f>'Cleaned Data'!R126</f>
        <v>201</v>
      </c>
      <c r="S126" s="2">
        <f>'Cleaned Data'!S126</f>
        <v>187.3</v>
      </c>
      <c r="T126" s="2">
        <f>'Cleaned Data'!T126</f>
        <v>179.7</v>
      </c>
      <c r="U126" s="2">
        <f>'Cleaned Data'!U126</f>
        <v>186.2</v>
      </c>
      <c r="V126" s="2">
        <f>'Cleaned Data'!V126</f>
        <v>175.6</v>
      </c>
      <c r="W126" s="2">
        <f>'Cleaned Data'!W126</f>
        <v>182.8</v>
      </c>
      <c r="X126" s="2">
        <f>'Cleaned Data'!X126</f>
        <v>175.2</v>
      </c>
      <c r="Y126" s="2">
        <f>'Cleaned Data'!Y126</f>
        <v>185.7</v>
      </c>
      <c r="Z126" s="2">
        <f>'Cleaned Data'!Z126</f>
        <v>164.8</v>
      </c>
      <c r="AA126" s="2">
        <f>'Cleaned Data'!AA126</f>
        <v>171.2</v>
      </c>
      <c r="AB126" s="2">
        <f>'Cleaned Data'!AB126</f>
        <v>177.1</v>
      </c>
      <c r="AC126" s="2">
        <f>'Cleaned Data'!AC126</f>
        <v>185.2</v>
      </c>
      <c r="AD126" s="2">
        <f>'Cleaned Data'!AD126</f>
        <v>175.7</v>
      </c>
      <c r="AE126" s="2">
        <f>'Cleaned Data'!AE126</f>
        <v>179.1</v>
      </c>
    </row>
  </sheetData>
  <pageMargins left="0.7" right="0.7" top="0.75" bottom="0.75" header="0.3" footer="0.3"/>
  <ignoredErrors>
    <ignoredError sqref="Q89 Y89"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11E0-DFCD-4493-A0CF-7B2CCA96FC84}">
  <dimension ref="A1:AE126"/>
  <sheetViews>
    <sheetView workbookViewId="0">
      <selection activeCell="E126" sqref="E3:AE126"/>
    </sheetView>
  </sheetViews>
  <sheetFormatPr defaultRowHeight="15" x14ac:dyDescent="0.25"/>
  <cols>
    <col min="1" max="1" width="13.140625" customWidth="1"/>
  </cols>
  <sheetData>
    <row r="1" spans="1:31"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5" t="s">
        <v>30</v>
      </c>
    </row>
    <row r="2" spans="1:31" x14ac:dyDescent="0.25">
      <c r="A2" s="1">
        <f>'Imputed Data'!A2</f>
        <v>41275</v>
      </c>
      <c r="B2" s="1" t="str">
        <f>'Imputed Data'!B2</f>
        <v>Rural+Urban</v>
      </c>
      <c r="C2" s="2">
        <f>'Imputed Data'!C2</f>
        <v>2013</v>
      </c>
      <c r="D2" s="1" t="str">
        <f>'Imputed Data'!D2</f>
        <v>January</v>
      </c>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1">
        <f>'Imputed Data'!A3</f>
        <v>41306</v>
      </c>
      <c r="B3" s="1" t="str">
        <f>'Imputed Data'!B3</f>
        <v>Rural+Urban</v>
      </c>
      <c r="C3" s="2">
        <f>'Imputed Data'!C3</f>
        <v>2013</v>
      </c>
      <c r="D3" s="1" t="str">
        <f>'Imputed Data'!D3</f>
        <v>February</v>
      </c>
      <c r="E3" s="7">
        <f>('Imputed Data'!E3-'Imputed Data'!E2)/'Imputed Data'!E2</f>
        <v>1.8450184501845018E-2</v>
      </c>
      <c r="F3" s="7">
        <f>('Imputed Data'!F3-'Imputed Data'!F2)/'Imputed Data'!F2</f>
        <v>2.7027027027027081E-2</v>
      </c>
      <c r="G3" s="7">
        <f>('Imputed Data'!G3-'Imputed Data'!G2)/'Imputed Data'!G2</f>
        <v>2.5454545454545428E-2</v>
      </c>
      <c r="H3" s="7">
        <f>('Imputed Data'!H3-'Imputed Data'!H2)/'Imputed Data'!H2</f>
        <v>4.7892720306513406E-3</v>
      </c>
      <c r="I3" s="7">
        <f>('Imputed Data'!I3-'Imputed Data'!I2)/'Imputed Data'!I2</f>
        <v>3.8058991436727471E-3</v>
      </c>
      <c r="J3" s="7">
        <f>('Imputed Data'!J3-'Imputed Data'!J2)/'Imputed Data'!J2</f>
        <v>3.8759689922479791E-3</v>
      </c>
      <c r="K3" s="7">
        <f>('Imputed Data'!K3-'Imputed Data'!K2)/'Imputed Data'!K2</f>
        <v>9.7847358121330719E-3</v>
      </c>
      <c r="L3" s="7">
        <f>('Imputed Data'!L3-'Imputed Data'!L2)/'Imputed Data'!L2</f>
        <v>-6.6037735849056875E-3</v>
      </c>
      <c r="M3" s="7">
        <f>('Imputed Data'!M3-'Imputed Data'!M2)/'Imputed Data'!M2</f>
        <v>-1.0357815442561286E-2</v>
      </c>
      <c r="N3" s="7">
        <f>('Imputed Data'!N3-'Imputed Data'!N2)/'Imputed Data'!N2</f>
        <v>9.7370983446927277E-4</v>
      </c>
      <c r="O3" s="7">
        <f>('Imputed Data'!O3-'Imputed Data'!O2)/'Imputed Data'!O2</f>
        <v>5.7197330791229194E-3</v>
      </c>
      <c r="P3" s="7">
        <f>('Imputed Data'!P3-'Imputed Data'!P2)/'Imputed Data'!P2</f>
        <v>9.3196644920782862E-3</v>
      </c>
      <c r="Q3" s="7">
        <f>('Imputed Data'!Q3-'Imputed Data'!Q2)/'Imputed Data'!Q2</f>
        <v>9.46969696969697E-3</v>
      </c>
      <c r="R3" s="7">
        <f>('Imputed Data'!R3-'Imputed Data'!R2)/'Imputed Data'!R2</f>
        <v>5.7088487155091206E-3</v>
      </c>
      <c r="S3" s="7">
        <f>('Imputed Data'!S3-'Imputed Data'!S2)/'Imputed Data'!S2</f>
        <v>5.6444026340546427E-3</v>
      </c>
      <c r="T3" s="7">
        <f>('Imputed Data'!T3-'Imputed Data'!T2)/'Imputed Data'!T2</f>
        <v>4.7393364928909956E-3</v>
      </c>
      <c r="U3" s="7">
        <f>('Imputed Data'!U3-'Imputed Data'!U2)/'Imputed Data'!U2</f>
        <v>5.64971751412424E-3</v>
      </c>
      <c r="V3" s="7">
        <f>('Imputed Data'!V3-'Imputed Data'!V2)/'Imputed Data'!V2</f>
        <v>9.9700897308084287E-4</v>
      </c>
      <c r="W3" s="7">
        <f>('Imputed Data'!W3-'Imputed Data'!W2)/'Imputed Data'!W2</f>
        <v>4.7393364928909956E-3</v>
      </c>
      <c r="X3" s="7">
        <f>('Imputed Data'!X3-'Imputed Data'!X2)/'Imputed Data'!X2</f>
        <v>3.8167938931298255E-3</v>
      </c>
      <c r="Y3" s="7">
        <f>('Imputed Data'!Y3-'Imputed Data'!Y2)/'Imputed Data'!Y2</f>
        <v>4.807692307692308E-3</v>
      </c>
      <c r="Z3" s="7">
        <f>('Imputed Data'!Z3-'Imputed Data'!Z2)/'Imputed Data'!Z2</f>
        <v>9.6899224806201549E-3</v>
      </c>
      <c r="AA3" s="7">
        <f>('Imputed Data'!AA3-'Imputed Data'!AA2)/'Imputed Data'!AA2</f>
        <v>4.849660523763337E-3</v>
      </c>
      <c r="AB3" s="7">
        <f>('Imputed Data'!AB3-'Imputed Data'!AB2)/'Imputed Data'!AB2</f>
        <v>2.8957528957530058E-3</v>
      </c>
      <c r="AC3" s="7">
        <f>('Imputed Data'!AC3-'Imputed Data'!AC2)/'Imputed Data'!AC2</f>
        <v>0</v>
      </c>
      <c r="AD3" s="7">
        <f>('Imputed Data'!AD3-'Imputed Data'!AD2)/'Imputed Data'!AD2</f>
        <v>4.8123195380173241E-3</v>
      </c>
      <c r="AE3" s="7">
        <f>('Imputed Data'!AE3-'Imputed Data'!AE2)/'Imputed Data'!AE2</f>
        <v>6.6921606118547118E-3</v>
      </c>
    </row>
    <row r="4" spans="1:31" x14ac:dyDescent="0.25">
      <c r="A4" s="1">
        <f>'Imputed Data'!A4</f>
        <v>41334</v>
      </c>
      <c r="B4" s="1" t="str">
        <f>'Imputed Data'!B4</f>
        <v>Rural+Urban</v>
      </c>
      <c r="C4" s="2">
        <f>'Imputed Data'!C4</f>
        <v>2013</v>
      </c>
      <c r="D4" s="1" t="str">
        <f>'Imputed Data'!D4</f>
        <v>March</v>
      </c>
      <c r="E4" s="7">
        <f>('Imputed Data'!E4-'Imputed Data'!E3)/'Imputed Data'!E3</f>
        <v>9.057971014492754E-3</v>
      </c>
      <c r="F4" s="7">
        <f>('Imputed Data'!F4-'Imputed Data'!F3)/'Imputed Data'!F3</f>
        <v>-4.5372050816696917E-3</v>
      </c>
      <c r="G4" s="7">
        <f>('Imputed Data'!G4-'Imputed Data'!G3)/'Imputed Data'!G3</f>
        <v>-1.4184397163120517E-2</v>
      </c>
      <c r="H4" s="7">
        <f>('Imputed Data'!H4-'Imputed Data'!H3)/'Imputed Data'!H3</f>
        <v>1.9065776930408829E-3</v>
      </c>
      <c r="I4" s="7">
        <f>('Imputed Data'!I4-'Imputed Data'!I3)/'Imputed Data'!I3</f>
        <v>-5.6872037914691403E-3</v>
      </c>
      <c r="J4" s="7">
        <f>('Imputed Data'!J4-'Imputed Data'!J3)/'Imputed Data'!J3</f>
        <v>1.6409266409266439E-2</v>
      </c>
      <c r="K4" s="7">
        <f>('Imputed Data'!K4-'Imputed Data'!K3)/'Imputed Data'!K3</f>
        <v>-9.6899224806201549E-3</v>
      </c>
      <c r="L4" s="7">
        <f>('Imputed Data'!L4-'Imputed Data'!L3)/'Imputed Data'!L3</f>
        <v>-2.8490028490028223E-3</v>
      </c>
      <c r="M4" s="7">
        <f>('Imputed Data'!M4-'Imputed Data'!M3)/'Imputed Data'!M3</f>
        <v>-8.5632730732634783E-3</v>
      </c>
      <c r="N4" s="7">
        <f>('Imputed Data'!N4-'Imputed Data'!N3)/'Imputed Data'!N3</f>
        <v>1.9455252918288216E-3</v>
      </c>
      <c r="O4" s="7">
        <f>('Imputed Data'!O4-'Imputed Data'!O3)/'Imputed Data'!O3</f>
        <v>6.6350710900474202E-3</v>
      </c>
      <c r="P4" s="7">
        <f>('Imputed Data'!P4-'Imputed Data'!P3)/'Imputed Data'!P3</f>
        <v>5.5401662049862285E-3</v>
      </c>
      <c r="Q4" s="7">
        <f>('Imputed Data'!Q4-'Imputed Data'!Q3)/'Imputed Data'!Q3</f>
        <v>2.8142589118199941E-3</v>
      </c>
      <c r="R4" s="7">
        <f>('Imputed Data'!R4-'Imputed Data'!R3)/'Imputed Data'!R3</f>
        <v>8.514664143803136E-3</v>
      </c>
      <c r="S4" s="7">
        <f>('Imputed Data'!S4-'Imputed Data'!S3)/'Imputed Data'!S3</f>
        <v>4.6772684752104769E-3</v>
      </c>
      <c r="T4" s="7">
        <f>('Imputed Data'!T4-'Imputed Data'!T3)/'Imputed Data'!T3</f>
        <v>4.7169811320754715E-3</v>
      </c>
      <c r="U4" s="7">
        <f>('Imputed Data'!U4-'Imputed Data'!U3)/'Imputed Data'!U3</f>
        <v>4.6816479400749065E-3</v>
      </c>
      <c r="V4" s="7">
        <f>('Imputed Data'!V4-'Imputed Data'!V3)/'Imputed Data'!V3</f>
        <v>0</v>
      </c>
      <c r="W4" s="7">
        <f>('Imputed Data'!W4-'Imputed Data'!W3)/'Imputed Data'!W3</f>
        <v>9.4339622641504068E-4</v>
      </c>
      <c r="X4" s="7">
        <f>('Imputed Data'!X4-'Imputed Data'!X3)/'Imputed Data'!X3</f>
        <v>3.8022813688212117E-3</v>
      </c>
      <c r="Y4" s="7">
        <f>('Imputed Data'!Y4-'Imputed Data'!Y3)/'Imputed Data'!Y3</f>
        <v>3.8277511961723031E-3</v>
      </c>
      <c r="Z4" s="7">
        <f>('Imputed Data'!Z4-'Imputed Data'!Z3)/'Imputed Data'!Z3</f>
        <v>8.6372360844528921E-3</v>
      </c>
      <c r="AA4" s="7">
        <f>('Imputed Data'!AA4-'Imputed Data'!AA3)/'Imputed Data'!AA3</f>
        <v>9.6525096525104756E-4</v>
      </c>
      <c r="AB4" s="7">
        <f>('Imputed Data'!AB4-'Imputed Data'!AB3)/'Imputed Data'!AB3</f>
        <v>9.6246390760341006E-4</v>
      </c>
      <c r="AC4" s="7">
        <f>('Imputed Data'!AC4-'Imputed Data'!AC3)/'Imputed Data'!AC3</f>
        <v>-1.9138755980861516E-3</v>
      </c>
      <c r="AD4" s="7">
        <f>('Imputed Data'!AD4-'Imputed Data'!AD3)/'Imputed Data'!AD3</f>
        <v>2.8735632183907772E-3</v>
      </c>
      <c r="AE4" s="7">
        <f>('Imputed Data'!AE4-'Imputed Data'!AE3)/'Imputed Data'!AE3</f>
        <v>1.899335232668593E-3</v>
      </c>
    </row>
    <row r="5" spans="1:31" x14ac:dyDescent="0.25">
      <c r="A5" s="1">
        <f>'Imputed Data'!A5</f>
        <v>41365</v>
      </c>
      <c r="B5" s="1" t="str">
        <f>'Imputed Data'!B5</f>
        <v>Rural+Urban</v>
      </c>
      <c r="C5" s="2">
        <f>'Imputed Data'!C5</f>
        <v>2013</v>
      </c>
      <c r="D5" s="1" t="str">
        <f>'Imputed Data'!D5</f>
        <v>April</v>
      </c>
      <c r="E5" s="7">
        <f>('Imputed Data'!E5-'Imputed Data'!E4)/'Imputed Data'!E4</f>
        <v>1.7953321364451403E-3</v>
      </c>
      <c r="F5" s="7">
        <f>('Imputed Data'!F5-'Imputed Data'!F4)/'Imputed Data'!F4</f>
        <v>1.0938924339106679E-2</v>
      </c>
      <c r="G5" s="7">
        <f>('Imputed Data'!G5-'Imputed Data'!G4)/'Imputed Data'!G4</f>
        <v>-4.136690647482022E-2</v>
      </c>
      <c r="H5" s="7">
        <f>('Imputed Data'!H5-'Imputed Data'!H4)/'Imputed Data'!H4</f>
        <v>5.7088487155091206E-3</v>
      </c>
      <c r="I5" s="7">
        <f>('Imputed Data'!I5-'Imputed Data'!I4)/'Imputed Data'!I4</f>
        <v>-4.766444232602478E-3</v>
      </c>
      <c r="J5" s="7">
        <f>('Imputed Data'!J5-'Imputed Data'!J4)/'Imputed Data'!J4</f>
        <v>3.4188034188034268E-2</v>
      </c>
      <c r="K5" s="7">
        <f>('Imputed Data'!K5-'Imputed Data'!K4)/'Imputed Data'!K4</f>
        <v>3.2289628180039109E-2</v>
      </c>
      <c r="L5" s="7">
        <f>('Imputed Data'!L5-'Imputed Data'!L4)/'Imputed Data'!L4</f>
        <v>2.8571428571428303E-3</v>
      </c>
      <c r="M5" s="7">
        <f>('Imputed Data'!M5-'Imputed Data'!M4)/'Imputed Data'!M4</f>
        <v>-6.7178502879078963E-3</v>
      </c>
      <c r="N5" s="7">
        <f>('Imputed Data'!N5-'Imputed Data'!N4)/'Imputed Data'!N4</f>
        <v>2.9126213592232733E-3</v>
      </c>
      <c r="O5" s="7">
        <f>('Imputed Data'!O5-'Imputed Data'!O4)/'Imputed Data'!O4</f>
        <v>9.4161958568738224E-3</v>
      </c>
      <c r="P5" s="7">
        <f>('Imputed Data'!P5-'Imputed Data'!P4)/'Imputed Data'!P4</f>
        <v>6.4279155188245053E-3</v>
      </c>
      <c r="Q5" s="7">
        <f>('Imputed Data'!Q5-'Imputed Data'!Q4)/'Imputed Data'!Q4</f>
        <v>7.4836295603367365E-3</v>
      </c>
      <c r="R5" s="7">
        <f>('Imputed Data'!R5-'Imputed Data'!R4)/'Imputed Data'!R4</f>
        <v>8.4427767354597165E-3</v>
      </c>
      <c r="S5" s="7">
        <f>('Imputed Data'!S5-'Imputed Data'!S4)/'Imputed Data'!S4</f>
        <v>5.5865921787708961E-3</v>
      </c>
      <c r="T5" s="7">
        <f>('Imputed Data'!T5-'Imputed Data'!T4)/'Imputed Data'!T4</f>
        <v>4.6948356807511738E-3</v>
      </c>
      <c r="U5" s="7">
        <f>('Imputed Data'!U5-'Imputed Data'!U4)/'Imputed Data'!U4</f>
        <v>5.5917986952470503E-3</v>
      </c>
      <c r="V5" s="7">
        <f>('Imputed Data'!V5-'Imputed Data'!V4)/'Imputed Data'!V4</f>
        <v>9.9601593625492347E-4</v>
      </c>
      <c r="W5" s="7">
        <f>('Imputed Data'!W5-'Imputed Data'!W4)/'Imputed Data'!W4</f>
        <v>3.7700282752121178E-3</v>
      </c>
      <c r="X5" s="7">
        <f>('Imputed Data'!X5-'Imputed Data'!X4)/'Imputed Data'!X4</f>
        <v>6.6287878787879059E-3</v>
      </c>
      <c r="Y5" s="7">
        <f>('Imputed Data'!Y5-'Imputed Data'!Y4)/'Imputed Data'!Y4</f>
        <v>3.8131553860819012E-3</v>
      </c>
      <c r="Z5" s="7">
        <f>('Imputed Data'!Z5-'Imputed Data'!Z4)/'Imputed Data'!Z4</f>
        <v>-3.8058991436726117E-3</v>
      </c>
      <c r="AA5" s="7">
        <f>('Imputed Data'!AA5-'Imputed Data'!AA4)/'Imputed Data'!AA4</f>
        <v>4.8216007714561235E-3</v>
      </c>
      <c r="AB5" s="7">
        <f>('Imputed Data'!AB5-'Imputed Data'!AB4)/'Imputed Data'!AB4</f>
        <v>9.6153846153846159E-3</v>
      </c>
      <c r="AC5" s="7">
        <f>('Imputed Data'!AC5-'Imputed Data'!AC4)/'Imputed Data'!AC4</f>
        <v>-1.3422818791946227E-2</v>
      </c>
      <c r="AD5" s="7">
        <f>('Imputed Data'!AD5-'Imputed Data'!AD4)/'Imputed Data'!AD4</f>
        <v>9.5510983763127325E-4</v>
      </c>
      <c r="AE5" s="7">
        <f>('Imputed Data'!AE5-'Imputed Data'!AE4)/'Imputed Data'!AE4</f>
        <v>5.6872037914691403E-3</v>
      </c>
    </row>
    <row r="6" spans="1:31" x14ac:dyDescent="0.25">
      <c r="A6" s="1">
        <f>'Imputed Data'!A6</f>
        <v>41395</v>
      </c>
      <c r="B6" s="1" t="str">
        <f>'Imputed Data'!B6</f>
        <v>Rural+Urban</v>
      </c>
      <c r="C6" s="2">
        <f>'Imputed Data'!C6</f>
        <v>2013</v>
      </c>
      <c r="D6" s="1" t="str">
        <f>'Imputed Data'!D6</f>
        <v>May</v>
      </c>
      <c r="E6" s="7">
        <f>('Imputed Data'!E6-'Imputed Data'!E5)/'Imputed Data'!E5</f>
        <v>6.2724014336917816E-3</v>
      </c>
      <c r="F6" s="7">
        <f>('Imputed Data'!F6-'Imputed Data'!F5)/'Imputed Data'!F5</f>
        <v>3.6068530207393279E-3</v>
      </c>
      <c r="G6" s="7">
        <f>('Imputed Data'!G6-'Imputed Data'!G5)/'Imputed Data'!G5</f>
        <v>-1.7823639774859207E-2</v>
      </c>
      <c r="H6" s="7">
        <f>('Imputed Data'!H6-'Imputed Data'!H5)/'Imputed Data'!H5</f>
        <v>1.0406811731314988E-2</v>
      </c>
      <c r="I6" s="7">
        <f>('Imputed Data'!I6-'Imputed Data'!I5)/'Imputed Data'!I5</f>
        <v>-4.7892720306513406E-3</v>
      </c>
      <c r="J6" s="7">
        <f>('Imputed Data'!J6-'Imputed Data'!J5)/'Imputed Data'!J5</f>
        <v>3.6730945821854127E-3</v>
      </c>
      <c r="K6" s="7">
        <f>('Imputed Data'!K6-'Imputed Data'!K5)/'Imputed Data'!K5</f>
        <v>7.0142180094786788E-2</v>
      </c>
      <c r="L6" s="7">
        <f>('Imputed Data'!L6-'Imputed Data'!L5)/'Imputed Data'!L5</f>
        <v>4.7483380816714148E-3</v>
      </c>
      <c r="M6" s="7">
        <f>('Imputed Data'!M6-'Imputed Data'!M5)/'Imputed Data'!M5</f>
        <v>-3.8647342995169632E-3</v>
      </c>
      <c r="N6" s="7">
        <f>('Imputed Data'!N6-'Imputed Data'!N5)/'Imputed Data'!N5</f>
        <v>9.6805421103581795E-3</v>
      </c>
      <c r="O6" s="7">
        <f>('Imputed Data'!O6-'Imputed Data'!O5)/'Imputed Data'!O5</f>
        <v>8.3955223880596216E-3</v>
      </c>
      <c r="P6" s="7">
        <f>('Imputed Data'!P6-'Imputed Data'!P5)/'Imputed Data'!P5</f>
        <v>8.2116788321168407E-3</v>
      </c>
      <c r="Q6" s="7">
        <f>('Imputed Data'!Q6-'Imputed Data'!Q5)/'Imputed Data'!Q5</f>
        <v>1.3927576601671309E-2</v>
      </c>
      <c r="R6" s="7">
        <f>('Imputed Data'!R6-'Imputed Data'!R5)/'Imputed Data'!R5</f>
        <v>1.0232558139534831E-2</v>
      </c>
      <c r="S6" s="7">
        <f>('Imputed Data'!S6-'Imputed Data'!S5)/'Imputed Data'!S5</f>
        <v>6.4814814814815082E-3</v>
      </c>
      <c r="T6" s="7">
        <f>('Imputed Data'!T6-'Imputed Data'!T5)/'Imputed Data'!T5</f>
        <v>3.7383177570093989E-3</v>
      </c>
      <c r="U6" s="7">
        <f>('Imputed Data'!U6-'Imputed Data'!U5)/'Imputed Data'!U5</f>
        <v>5.560704355885026E-3</v>
      </c>
      <c r="V6" s="7">
        <f>('Imputed Data'!V6-'Imputed Data'!V5)/'Imputed Data'!V5</f>
        <v>0</v>
      </c>
      <c r="W6" s="7">
        <f>('Imputed Data'!W6-'Imputed Data'!W5)/'Imputed Data'!W5</f>
        <v>8.4507042253521656E-3</v>
      </c>
      <c r="X6" s="7">
        <f>('Imputed Data'!X6-'Imputed Data'!X5)/'Imputed Data'!X5</f>
        <v>5.6444026340546427E-3</v>
      </c>
      <c r="Y6" s="7">
        <f>('Imputed Data'!Y6-'Imputed Data'!Y5)/'Imputed Data'!Y5</f>
        <v>5.698005698005779E-3</v>
      </c>
      <c r="Z6" s="7">
        <f>('Imputed Data'!Z6-'Imputed Data'!Z5)/'Imputed Data'!Z5</f>
        <v>-6.6857688634193203E-3</v>
      </c>
      <c r="AA6" s="7">
        <f>('Imputed Data'!AA6-'Imputed Data'!AA5)/'Imputed Data'!AA5</f>
        <v>5.7581573896352623E-3</v>
      </c>
      <c r="AB6" s="7">
        <f>('Imputed Data'!AB6-'Imputed Data'!AB5)/'Imputed Data'!AB5</f>
        <v>5.7142857142856605E-3</v>
      </c>
      <c r="AC6" s="7">
        <f>('Imputed Data'!AC6-'Imputed Data'!AC5)/'Imputed Data'!AC5</f>
        <v>-5.8309037900875459E-3</v>
      </c>
      <c r="AD6" s="7">
        <f>('Imputed Data'!AD6-'Imputed Data'!AD5)/'Imputed Data'!AD5</f>
        <v>0</v>
      </c>
      <c r="AE6" s="7">
        <f>('Imputed Data'!AE6-'Imputed Data'!AE5)/'Imputed Data'!AE5</f>
        <v>7.5400565504242355E-3</v>
      </c>
    </row>
    <row r="7" spans="1:31" x14ac:dyDescent="0.25">
      <c r="A7" s="1">
        <f>'Imputed Data'!A7</f>
        <v>41426</v>
      </c>
      <c r="B7" s="1" t="str">
        <f>'Imputed Data'!B7</f>
        <v>Rural+Urban</v>
      </c>
      <c r="C7" s="2">
        <f>'Imputed Data'!C7</f>
        <v>2013</v>
      </c>
      <c r="D7" s="1" t="str">
        <f>'Imputed Data'!D7</f>
        <v>June</v>
      </c>
      <c r="E7" s="7">
        <f>('Imputed Data'!E7-'Imputed Data'!E6)/'Imputed Data'!E6</f>
        <v>1.3357079252003563E-2</v>
      </c>
      <c r="F7" s="7">
        <f>('Imputed Data'!F7-'Imputed Data'!F6)/'Imputed Data'!F6</f>
        <v>3.2345013477089027E-2</v>
      </c>
      <c r="G7" s="7">
        <f>('Imputed Data'!G7-'Imputed Data'!G6)/'Imputed Data'!G6</f>
        <v>4.8710601719197652E-2</v>
      </c>
      <c r="H7" s="7">
        <f>('Imputed Data'!H7-'Imputed Data'!H6)/'Imputed Data'!H6</f>
        <v>1.0299625468164875E-2</v>
      </c>
      <c r="I7" s="7">
        <f>('Imputed Data'!I7-'Imputed Data'!I6)/'Imputed Data'!I6</f>
        <v>2.8873917228103671E-3</v>
      </c>
      <c r="J7" s="7">
        <f>('Imputed Data'!J7-'Imputed Data'!J6)/'Imputed Data'!J6</f>
        <v>1.280878316559932E-2</v>
      </c>
      <c r="K7" s="7">
        <f>('Imputed Data'!K7-'Imputed Data'!K6)/'Imputed Data'!K6</f>
        <v>0.12223206377325063</v>
      </c>
      <c r="L7" s="7">
        <f>('Imputed Data'!L7-'Imputed Data'!L6)/'Imputed Data'!L6</f>
        <v>4.725897920604915E-3</v>
      </c>
      <c r="M7" s="7">
        <f>('Imputed Data'!M7-'Imputed Data'!M6)/'Imputed Data'!M6</f>
        <v>9.6993210475275005E-4</v>
      </c>
      <c r="N7" s="7">
        <f>('Imputed Data'!N7-'Imputed Data'!N6)/'Imputed Data'!N6</f>
        <v>1.3422818791946364E-2</v>
      </c>
      <c r="O7" s="7">
        <f>('Imputed Data'!O7-'Imputed Data'!O6)/'Imputed Data'!O6</f>
        <v>8.3256244218316896E-3</v>
      </c>
      <c r="P7" s="7">
        <f>('Imputed Data'!P7-'Imputed Data'!P6)/'Imputed Data'!P6</f>
        <v>9.9547511312216685E-3</v>
      </c>
      <c r="Q7" s="7">
        <f>('Imputed Data'!Q7-'Imputed Data'!Q6)/'Imputed Data'!Q6</f>
        <v>2.7472527472527472E-2</v>
      </c>
      <c r="R7" s="7">
        <f>('Imputed Data'!R7-'Imputed Data'!R6)/'Imputed Data'!R6</f>
        <v>8.2872928176796114E-3</v>
      </c>
      <c r="S7" s="7">
        <f>('Imputed Data'!S7-'Imputed Data'!S6)/'Imputed Data'!S6</f>
        <v>7.3597056117755029E-3</v>
      </c>
      <c r="T7" s="7">
        <f>('Imputed Data'!T7-'Imputed Data'!T6)/'Imputed Data'!T6</f>
        <v>6.5176908752326681E-3</v>
      </c>
      <c r="U7" s="7">
        <f>('Imputed Data'!U7-'Imputed Data'!U6)/'Imputed Data'!U6</f>
        <v>7.3732718894008956E-3</v>
      </c>
      <c r="V7" s="7">
        <f>('Imputed Data'!V7-'Imputed Data'!V6)/'Imputed Data'!V6</f>
        <v>6.0696517412935268E-2</v>
      </c>
      <c r="W7" s="7">
        <f>('Imputed Data'!W7-'Imputed Data'!W6)/'Imputed Data'!W6</f>
        <v>8.3798882681563446E-3</v>
      </c>
      <c r="X7" s="7">
        <f>('Imputed Data'!X7-'Imputed Data'!X6)/'Imputed Data'!X6</f>
        <v>6.5481758652945615E-3</v>
      </c>
      <c r="Y7" s="7">
        <f>('Imputed Data'!Y7-'Imputed Data'!Y6)/'Imputed Data'!Y6</f>
        <v>4.721435316336166E-3</v>
      </c>
      <c r="Z7" s="7">
        <f>('Imputed Data'!Z7-'Imputed Data'!Z6)/'Imputed Data'!Z6</f>
        <v>1.0576923076923022E-2</v>
      </c>
      <c r="AA7" s="7">
        <f>('Imputed Data'!AA7-'Imputed Data'!AA6)/'Imputed Data'!AA6</f>
        <v>5.725190839694738E-3</v>
      </c>
      <c r="AB7" s="7">
        <f>('Imputed Data'!AB7-'Imputed Data'!AB6)/'Imputed Data'!AB6</f>
        <v>1.7045454545454655E-2</v>
      </c>
      <c r="AC7" s="7">
        <f>('Imputed Data'!AC7-'Imputed Data'!AC6)/'Imputed Data'!AC6</f>
        <v>4.8875855327468231E-3</v>
      </c>
      <c r="AD7" s="7">
        <f>('Imputed Data'!AD7-'Imputed Data'!AD6)/'Imputed Data'!AD6</f>
        <v>9.5419847328244278E-3</v>
      </c>
      <c r="AE7" s="7">
        <f>('Imputed Data'!AE7-'Imputed Data'!AE6)/'Imputed Data'!AE6</f>
        <v>2.2450888681010209E-2</v>
      </c>
    </row>
    <row r="8" spans="1:31" x14ac:dyDescent="0.25">
      <c r="A8" s="1">
        <f>'Imputed Data'!A8</f>
        <v>41456</v>
      </c>
      <c r="B8" s="1" t="str">
        <f>'Imputed Data'!B8</f>
        <v>Rural+Urban</v>
      </c>
      <c r="C8" s="2">
        <f>'Imputed Data'!C8</f>
        <v>2013</v>
      </c>
      <c r="D8" s="1" t="str">
        <f>'Imputed Data'!D8</f>
        <v>July</v>
      </c>
      <c r="E8" s="7">
        <f>('Imputed Data'!E8-'Imputed Data'!E7)/'Imputed Data'!E7</f>
        <v>8.7873462214411256E-3</v>
      </c>
      <c r="F8" s="7">
        <f>('Imputed Data'!F8-'Imputed Data'!F7)/'Imputed Data'!F7</f>
        <v>1.3054830287206266E-2</v>
      </c>
      <c r="G8" s="7">
        <f>('Imputed Data'!G8-'Imputed Data'!G7)/'Imputed Data'!G7</f>
        <v>1.9125683060109366E-2</v>
      </c>
      <c r="H8" s="7">
        <f>('Imputed Data'!H8-'Imputed Data'!H7)/'Imputed Data'!H7</f>
        <v>9.2678405931417972E-3</v>
      </c>
      <c r="I8" s="7">
        <f>('Imputed Data'!I8-'Imputed Data'!I7)/'Imputed Data'!I7</f>
        <v>9.5969289827249821E-4</v>
      </c>
      <c r="J8" s="7">
        <f>('Imputed Data'!J8-'Imputed Data'!J7)/'Imputed Data'!J7</f>
        <v>9.0334236675700084E-3</v>
      </c>
      <c r="K8" s="7">
        <f>('Imputed Data'!K8-'Imputed Data'!K7)/'Imputed Data'!K7</f>
        <v>0.10497237569060772</v>
      </c>
      <c r="L8" s="7">
        <f>('Imputed Data'!L8-'Imputed Data'!L7)/'Imputed Data'!L7</f>
        <v>9.4073377234250735E-4</v>
      </c>
      <c r="M8" s="7">
        <f>('Imputed Data'!M8-'Imputed Data'!M7)/'Imputed Data'!M7</f>
        <v>9.6899224806196041E-4</v>
      </c>
      <c r="N8" s="7">
        <f>('Imputed Data'!N8-'Imputed Data'!N7)/'Imputed Data'!N7</f>
        <v>1.0406811731314988E-2</v>
      </c>
      <c r="O8" s="7">
        <f>('Imputed Data'!O8-'Imputed Data'!O7)/'Imputed Data'!O7</f>
        <v>5.504587155963251E-3</v>
      </c>
      <c r="P8" s="7">
        <f>('Imputed Data'!P8-'Imputed Data'!P7)/'Imputed Data'!P7</f>
        <v>8.9605734767025103E-3</v>
      </c>
      <c r="Q8" s="7">
        <f>('Imputed Data'!Q8-'Imputed Data'!Q7)/'Imputed Data'!Q7</f>
        <v>2.2281639928698752E-2</v>
      </c>
      <c r="R8" s="7">
        <f>('Imputed Data'!R8-'Imputed Data'!R7)/'Imputed Data'!R7</f>
        <v>7.3059360730593345E-3</v>
      </c>
      <c r="S8" s="7">
        <f>('Imputed Data'!S8-'Imputed Data'!S7)/'Imputed Data'!S7</f>
        <v>6.392694063926967E-3</v>
      </c>
      <c r="T8" s="7">
        <f>('Imputed Data'!T8-'Imputed Data'!T7)/'Imputed Data'!T7</f>
        <v>6.4754856614246334E-3</v>
      </c>
      <c r="U8" s="7">
        <f>('Imputed Data'!U8-'Imputed Data'!U7)/'Imputed Data'!U7</f>
        <v>6.4043915827996598E-3</v>
      </c>
      <c r="V8" s="7">
        <f>('Imputed Data'!V8-'Imputed Data'!V7)/'Imputed Data'!V7</f>
        <v>1.0318949343339668E-2</v>
      </c>
      <c r="W8" s="7">
        <f>('Imputed Data'!W8-'Imputed Data'!W7)/'Imputed Data'!W7</f>
        <v>8.3102493074792769E-3</v>
      </c>
      <c r="X8" s="7">
        <f>('Imputed Data'!X8-'Imputed Data'!X7)/'Imputed Data'!X7</f>
        <v>5.5762081784387412E-3</v>
      </c>
      <c r="Y8" s="7">
        <f>('Imputed Data'!Y8-'Imputed Data'!Y7)/'Imputed Data'!Y7</f>
        <v>5.6390977443608482E-3</v>
      </c>
      <c r="Z8" s="7">
        <f>('Imputed Data'!Z8-'Imputed Data'!Z7)/'Imputed Data'!Z7</f>
        <v>1.9029495718363463E-2</v>
      </c>
      <c r="AA8" s="7">
        <f>('Imputed Data'!AA8-'Imputed Data'!AA7)/'Imputed Data'!AA7</f>
        <v>6.64136622390881E-3</v>
      </c>
      <c r="AB8" s="7">
        <f>('Imputed Data'!AB8-'Imputed Data'!AB7)/'Imputed Data'!AB7</f>
        <v>1.5828677839850917E-2</v>
      </c>
      <c r="AC8" s="7">
        <f>('Imputed Data'!AC8-'Imputed Data'!AC7)/'Imputed Data'!AC7</f>
        <v>0</v>
      </c>
      <c r="AD8" s="7">
        <f>('Imputed Data'!AD8-'Imputed Data'!AD7)/'Imputed Data'!AD7</f>
        <v>1.0396975425330893E-2</v>
      </c>
      <c r="AE8" s="7">
        <f>('Imputed Data'!AE8-'Imputed Data'!AE7)/'Imputed Data'!AE7</f>
        <v>1.5553522415370566E-2</v>
      </c>
    </row>
    <row r="9" spans="1:31" x14ac:dyDescent="0.25">
      <c r="A9" s="1">
        <f>'Imputed Data'!A9</f>
        <v>41487</v>
      </c>
      <c r="B9" s="1" t="str">
        <f>'Imputed Data'!B9</f>
        <v>Rural+Urban</v>
      </c>
      <c r="C9" s="2">
        <f>'Imputed Data'!C9</f>
        <v>2013</v>
      </c>
      <c r="D9" s="1" t="str">
        <f>'Imputed Data'!D9</f>
        <v>August</v>
      </c>
      <c r="E9" s="7">
        <f>('Imputed Data'!E9-'Imputed Data'!E8)/'Imputed Data'!E8</f>
        <v>6.9686411149825541E-3</v>
      </c>
      <c r="F9" s="7">
        <f>('Imputed Data'!F9-'Imputed Data'!F8)/'Imputed Data'!F8</f>
        <v>6.8728522336769515E-3</v>
      </c>
      <c r="G9" s="7">
        <f>('Imputed Data'!G9-'Imputed Data'!G8)/'Imputed Data'!G8</f>
        <v>-1.7873100983020807E-3</v>
      </c>
      <c r="H9" s="7">
        <f>('Imputed Data'!H9-'Imputed Data'!H8)/'Imputed Data'!H8</f>
        <v>6.4279155188245053E-3</v>
      </c>
      <c r="I9" s="7">
        <f>('Imputed Data'!I9-'Imputed Data'!I8)/'Imputed Data'!I8</f>
        <v>1.9175455417066428E-3</v>
      </c>
      <c r="J9" s="7">
        <f>('Imputed Data'!J9-'Imputed Data'!J8)/'Imputed Data'!J8</f>
        <v>-1.7009847806624939E-2</v>
      </c>
      <c r="K9" s="7">
        <f>('Imputed Data'!K9-'Imputed Data'!K8)/'Imputed Data'!K8</f>
        <v>8.4285714285714367E-2</v>
      </c>
      <c r="L9" s="7">
        <f>('Imputed Data'!L9-'Imputed Data'!L8)/'Imputed Data'!L8</f>
        <v>9.3984962406009687E-4</v>
      </c>
      <c r="M9" s="7">
        <f>('Imputed Data'!M9-'Imputed Data'!M8)/'Imputed Data'!M8</f>
        <v>-1.9361084220716636E-3</v>
      </c>
      <c r="N9" s="7">
        <f>('Imputed Data'!N9-'Imputed Data'!N8)/'Imputed Data'!N8</f>
        <v>5.6179775280899673E-3</v>
      </c>
      <c r="O9" s="7">
        <f>('Imputed Data'!O9-'Imputed Data'!O8)/'Imputed Data'!O8</f>
        <v>5.4744525547446039E-3</v>
      </c>
      <c r="P9" s="7">
        <f>('Imputed Data'!P9-'Imputed Data'!P8)/'Imputed Data'!P8</f>
        <v>7.1047957371226595E-3</v>
      </c>
      <c r="Q9" s="7">
        <f>('Imputed Data'!Q9-'Imputed Data'!Q8)/'Imputed Data'!Q8</f>
        <v>1.6564952048822943E-2</v>
      </c>
      <c r="R9" s="7">
        <f>('Imputed Data'!R9-'Imputed Data'!R8)/'Imputed Data'!R8</f>
        <v>8.1595648232094808E-3</v>
      </c>
      <c r="S9" s="7">
        <f>('Imputed Data'!S9-'Imputed Data'!S8)/'Imputed Data'!S8</f>
        <v>7.25952813067148E-3</v>
      </c>
      <c r="T9" s="7">
        <f>('Imputed Data'!T9-'Imputed Data'!T8)/'Imputed Data'!T8</f>
        <v>5.5147058823530196E-3</v>
      </c>
      <c r="U9" s="7">
        <f>('Imputed Data'!U9-'Imputed Data'!U8)/'Imputed Data'!U8</f>
        <v>6.3636363636363899E-3</v>
      </c>
      <c r="V9" s="7">
        <f>('Imputed Data'!V9-'Imputed Data'!V8)/'Imputed Data'!V8</f>
        <v>1.1142061281337073E-2</v>
      </c>
      <c r="W9" s="7">
        <f>('Imputed Data'!W9-'Imputed Data'!W8)/'Imputed Data'!W8</f>
        <v>4.578754578754579E-3</v>
      </c>
      <c r="X9" s="7">
        <f>('Imputed Data'!X9-'Imputed Data'!X8)/'Imputed Data'!X8</f>
        <v>4.6210720887245836E-3</v>
      </c>
      <c r="Y9" s="7">
        <f>('Imputed Data'!Y9-'Imputed Data'!Y8)/'Imputed Data'!Y8</f>
        <v>4.6728971962616819E-3</v>
      </c>
      <c r="Z9" s="7">
        <f>('Imputed Data'!Z9-'Imputed Data'!Z8)/'Imputed Data'!Z8</f>
        <v>8.4033613445378685E-3</v>
      </c>
      <c r="AA9" s="7">
        <f>('Imputed Data'!AA9-'Imputed Data'!AA8)/'Imputed Data'!AA8</f>
        <v>4.7125353440150806E-3</v>
      </c>
      <c r="AB9" s="7">
        <f>('Imputed Data'!AB9-'Imputed Data'!AB8)/'Imputed Data'!AB8</f>
        <v>7.332722273144009E-3</v>
      </c>
      <c r="AC9" s="7">
        <f>('Imputed Data'!AC9-'Imputed Data'!AC8)/'Imputed Data'!AC8</f>
        <v>2.5291828793774403E-2</v>
      </c>
      <c r="AD9" s="7">
        <f>('Imputed Data'!AD9-'Imputed Data'!AD8)/'Imputed Data'!AD8</f>
        <v>9.3545369504209538E-3</v>
      </c>
      <c r="AE9" s="7">
        <f>('Imputed Data'!AE9-'Imputed Data'!AE8)/'Imputed Data'!AE8</f>
        <v>1.2612612612612664E-2</v>
      </c>
    </row>
    <row r="10" spans="1:31" x14ac:dyDescent="0.25">
      <c r="A10" s="1">
        <f>'Imputed Data'!A10</f>
        <v>41518</v>
      </c>
      <c r="B10" s="1" t="str">
        <f>'Imputed Data'!B10</f>
        <v>Rural+Urban</v>
      </c>
      <c r="C10" s="2">
        <f>'Imputed Data'!C10</f>
        <v>2013</v>
      </c>
      <c r="D10" s="1" t="str">
        <f>'Imputed Data'!D10</f>
        <v>September</v>
      </c>
      <c r="E10" s="7">
        <f>('Imputed Data'!E10-'Imputed Data'!E9)/'Imputed Data'!E9</f>
        <v>6.9204152249135939E-3</v>
      </c>
      <c r="F10" s="7">
        <f>('Imputed Data'!F10-'Imputed Data'!F9)/'Imputed Data'!F9</f>
        <v>-2.5597269624573135E-3</v>
      </c>
      <c r="G10" s="7">
        <f>('Imputed Data'!G10-'Imputed Data'!G9)/'Imputed Data'!G9</f>
        <v>5.3715308863025455E-3</v>
      </c>
      <c r="H10" s="7">
        <f>('Imputed Data'!H10-'Imputed Data'!H9)/'Imputed Data'!H9</f>
        <v>8.2116788321168407E-3</v>
      </c>
      <c r="I10" s="7">
        <f>('Imputed Data'!I10-'Imputed Data'!I9)/'Imputed Data'!I9</f>
        <v>7.6555023923444701E-3</v>
      </c>
      <c r="J10" s="7">
        <f>('Imputed Data'!J10-'Imputed Data'!J9)/'Imputed Data'!J9</f>
        <v>-2.2768670309653918E-2</v>
      </c>
      <c r="K10" s="7">
        <f>('Imputed Data'!K10-'Imputed Data'!K9)/'Imputed Data'!K9</f>
        <v>5.9947299077733815E-2</v>
      </c>
      <c r="L10" s="7">
        <f>('Imputed Data'!L10-'Imputed Data'!L9)/'Imputed Data'!L9</f>
        <v>5.633802816901355E-3</v>
      </c>
      <c r="M10" s="7">
        <f>('Imputed Data'!M10-'Imputed Data'!M9)/'Imputed Data'!M9</f>
        <v>0</v>
      </c>
      <c r="N10" s="7">
        <f>('Imputed Data'!N10-'Imputed Data'!N9)/'Imputed Data'!N9</f>
        <v>8.3798882681563446E-3</v>
      </c>
      <c r="O10" s="7">
        <f>('Imputed Data'!O10-'Imputed Data'!O9)/'Imputed Data'!O9</f>
        <v>4.5372050816696917E-3</v>
      </c>
      <c r="P10" s="7">
        <f>('Imputed Data'!P10-'Imputed Data'!P9)/'Imputed Data'!P9</f>
        <v>1.0582010582010481E-2</v>
      </c>
      <c r="Q10" s="7">
        <f>('Imputed Data'!Q10-'Imputed Data'!Q9)/'Imputed Data'!Q9</f>
        <v>1.4579759862778756E-2</v>
      </c>
      <c r="R10" s="7">
        <f>('Imputed Data'!R10-'Imputed Data'!R9)/'Imputed Data'!R9</f>
        <v>7.1942446043165211E-3</v>
      </c>
      <c r="S10" s="7">
        <f>('Imputed Data'!S10-'Imputed Data'!S9)/'Imputed Data'!S9</f>
        <v>1.0810810810810836E-2</v>
      </c>
      <c r="T10" s="7">
        <f>('Imputed Data'!T10-'Imputed Data'!T9)/'Imputed Data'!T9</f>
        <v>9.140767824497258E-3</v>
      </c>
      <c r="U10" s="7">
        <f>('Imputed Data'!U10-'Imputed Data'!U9)/'Imputed Data'!U9</f>
        <v>1.0840108401084037E-2</v>
      </c>
      <c r="V10" s="7">
        <f>('Imputed Data'!V10-'Imputed Data'!V9)/'Imputed Data'!V9</f>
        <v>7.3461891643709564E-3</v>
      </c>
      <c r="W10" s="7">
        <f>('Imputed Data'!W10-'Imputed Data'!W9)/'Imputed Data'!W9</f>
        <v>7.2926162260710768E-3</v>
      </c>
      <c r="X10" s="7">
        <f>('Imputed Data'!X10-'Imputed Data'!X9)/'Imputed Data'!X9</f>
        <v>8.2796688132473917E-3</v>
      </c>
      <c r="Y10" s="7">
        <f>('Imputed Data'!Y10-'Imputed Data'!Y9)/'Imputed Data'!Y9</f>
        <v>5.5813953488371565E-3</v>
      </c>
      <c r="Z10" s="7">
        <f>('Imputed Data'!Z10-'Imputed Data'!Z9)/'Imputed Data'!Z9</f>
        <v>1.7592592592592646E-2</v>
      </c>
      <c r="AA10" s="7">
        <f>('Imputed Data'!AA10-'Imputed Data'!AA9)/'Imputed Data'!AA9</f>
        <v>8.4427767354597165E-3</v>
      </c>
      <c r="AB10" s="7">
        <f>('Imputed Data'!AB10-'Imputed Data'!AB9)/'Imputed Data'!AB9</f>
        <v>6.3694267515922529E-3</v>
      </c>
      <c r="AC10" s="7">
        <f>('Imputed Data'!AC10-'Imputed Data'!AC9)/'Imputed Data'!AC9</f>
        <v>1.3282732447817755E-2</v>
      </c>
      <c r="AD10" s="7">
        <f>('Imputed Data'!AD10-'Imputed Data'!AD9)/'Imputed Data'!AD9</f>
        <v>1.0194624652455924E-2</v>
      </c>
      <c r="AE10" s="7">
        <f>('Imputed Data'!AE10-'Imputed Data'!AE9)/'Imputed Data'!AE9</f>
        <v>1.1565836298932359E-2</v>
      </c>
    </row>
    <row r="11" spans="1:31" x14ac:dyDescent="0.25">
      <c r="A11" s="1">
        <f>'Imputed Data'!A11</f>
        <v>41548</v>
      </c>
      <c r="B11" s="1" t="str">
        <f>'Imputed Data'!B11</f>
        <v>Rural+Urban</v>
      </c>
      <c r="C11" s="2">
        <f>'Imputed Data'!C11</f>
        <v>2013</v>
      </c>
      <c r="D11" s="1" t="str">
        <f>'Imputed Data'!D11</f>
        <v>October</v>
      </c>
      <c r="E11" s="7">
        <f>('Imputed Data'!E11-'Imputed Data'!E10)/'Imputed Data'!E10</f>
        <v>6.0137457044672563E-3</v>
      </c>
      <c r="F11" s="7">
        <f>('Imputed Data'!F11-'Imputed Data'!F10)/'Imputed Data'!F10</f>
        <v>-5.1325919589393374E-3</v>
      </c>
      <c r="G11" s="7">
        <f>('Imputed Data'!G11-'Imputed Data'!G10)/'Imputed Data'!G10</f>
        <v>8.9047195013357075E-3</v>
      </c>
      <c r="H11" s="7">
        <f>('Imputed Data'!H11-'Imputed Data'!H10)/'Imputed Data'!H10</f>
        <v>6.3348416289593021E-3</v>
      </c>
      <c r="I11" s="7">
        <f>('Imputed Data'!I11-'Imputed Data'!I10)/'Imputed Data'!I10</f>
        <v>3.798670465337186E-3</v>
      </c>
      <c r="J11" s="7">
        <f>('Imputed Data'!J11-'Imputed Data'!J10)/'Imputed Data'!J10</f>
        <v>2.4231127679403622E-2</v>
      </c>
      <c r="K11" s="7">
        <f>('Imputed Data'!K11-'Imputed Data'!K10)/'Imputed Data'!K10</f>
        <v>6.4014916096954519E-2</v>
      </c>
      <c r="L11" s="7">
        <f>('Imputed Data'!L11-'Imputed Data'!L10)/'Imputed Data'!L10</f>
        <v>1.867413632119541E-3</v>
      </c>
      <c r="M11" s="7">
        <f>('Imputed Data'!M11-'Imputed Data'!M10)/'Imputed Data'!M10</f>
        <v>-3.8797284190105869E-3</v>
      </c>
      <c r="N11" s="7">
        <f>('Imputed Data'!N11-'Imputed Data'!N10)/'Imputed Data'!N10</f>
        <v>3.6934441366574858E-3</v>
      </c>
      <c r="O11" s="7">
        <f>('Imputed Data'!O11-'Imputed Data'!O10)/'Imputed Data'!O10</f>
        <v>4.5167118337850042E-3</v>
      </c>
      <c r="P11" s="7">
        <f>('Imputed Data'!P11-'Imputed Data'!P10)/'Imputed Data'!P10</f>
        <v>6.9808027923212168E-3</v>
      </c>
      <c r="Q11" s="7">
        <f>('Imputed Data'!Q11-'Imputed Data'!Q10)/'Imputed Data'!Q10</f>
        <v>1.6060862214708416E-2</v>
      </c>
      <c r="R11" s="7">
        <f>('Imputed Data'!R11-'Imputed Data'!R10)/'Imputed Data'!R10</f>
        <v>4.464285714285714E-3</v>
      </c>
      <c r="S11" s="7">
        <f>('Imputed Data'!S11-'Imputed Data'!S10)/'Imputed Data'!S10</f>
        <v>8.9126559714795012E-3</v>
      </c>
      <c r="T11" s="7">
        <f>('Imputed Data'!T11-'Imputed Data'!T10)/'Imputed Data'!T10</f>
        <v>7.246376811594177E-3</v>
      </c>
      <c r="U11" s="7">
        <f>('Imputed Data'!U11-'Imputed Data'!U10)/'Imputed Data'!U10</f>
        <v>8.0428954423591732E-3</v>
      </c>
      <c r="V11" s="7">
        <f>('Imputed Data'!V11-'Imputed Data'!V10)/'Imputed Data'!V10</f>
        <v>7.2926162260710768E-3</v>
      </c>
      <c r="W11" s="7">
        <f>('Imputed Data'!W11-'Imputed Data'!W10)/'Imputed Data'!W10</f>
        <v>3.6199095022624948E-3</v>
      </c>
      <c r="X11" s="7">
        <f>('Imputed Data'!X11-'Imputed Data'!X10)/'Imputed Data'!X10</f>
        <v>6.3868613138686392E-3</v>
      </c>
      <c r="Y11" s="7">
        <f>('Imputed Data'!Y11-'Imputed Data'!Y10)/'Imputed Data'!Y10</f>
        <v>4.6253469010175763E-3</v>
      </c>
      <c r="Z11" s="7">
        <f>('Imputed Data'!Z11-'Imputed Data'!Z10)/'Imputed Data'!Z10</f>
        <v>-3.6396724294813984E-3</v>
      </c>
      <c r="AA11" s="7">
        <f>('Imputed Data'!AA11-'Imputed Data'!AA10)/'Imputed Data'!AA10</f>
        <v>5.5813953488371565E-3</v>
      </c>
      <c r="AB11" s="7">
        <f>('Imputed Data'!AB11-'Imputed Data'!AB10)/'Imputed Data'!AB10</f>
        <v>1.8083182640144923E-3</v>
      </c>
      <c r="AC11" s="7">
        <f>('Imputed Data'!AC11-'Imputed Data'!AC10)/'Imputed Data'!AC10</f>
        <v>5.6179775280899673E-3</v>
      </c>
      <c r="AD11" s="7">
        <f>('Imputed Data'!AD11-'Imputed Data'!AD10)/'Imputed Data'!AD10</f>
        <v>1.834862385321127E-3</v>
      </c>
      <c r="AE11" s="7">
        <f>('Imputed Data'!AE11-'Imputed Data'!AE10)/'Imputed Data'!AE10</f>
        <v>9.6745822339489376E-3</v>
      </c>
    </row>
    <row r="12" spans="1:31" x14ac:dyDescent="0.25">
      <c r="A12" s="1">
        <f>'Imputed Data'!A12</f>
        <v>41579</v>
      </c>
      <c r="B12" s="1" t="str">
        <f>'Imputed Data'!B12</f>
        <v>Rural+Urban</v>
      </c>
      <c r="C12" s="2">
        <f>'Imputed Data'!C12</f>
        <v>2013</v>
      </c>
      <c r="D12" s="1" t="str">
        <f>'Imputed Data'!D12</f>
        <v>November</v>
      </c>
      <c r="E12" s="7">
        <f>('Imputed Data'!E12-'Imputed Data'!E11)/'Imputed Data'!E11</f>
        <v>8.539709649871904E-3</v>
      </c>
      <c r="F12" s="7">
        <f>('Imputed Data'!F12-'Imputed Data'!F11)/'Imputed Data'!F11</f>
        <v>-7.7386070507307952E-3</v>
      </c>
      <c r="G12" s="7">
        <f>('Imputed Data'!G12-'Imputed Data'!G11)/'Imputed Data'!G11</f>
        <v>4.7661076787290431E-2</v>
      </c>
      <c r="H12" s="7">
        <f>('Imputed Data'!H12-'Imputed Data'!H11)/'Imputed Data'!H11</f>
        <v>1.1690647482014363E-2</v>
      </c>
      <c r="I12" s="7">
        <f>('Imputed Data'!I12-'Imputed Data'!I11)/'Imputed Data'!I11</f>
        <v>1.0406811731314988E-2</v>
      </c>
      <c r="J12" s="7">
        <f>('Imputed Data'!J12-'Imputed Data'!J11)/'Imputed Data'!J11</f>
        <v>3.2757051865332065E-2</v>
      </c>
      <c r="K12" s="7">
        <f>('Imputed Data'!K12-'Imputed Data'!K11)/'Imputed Data'!K11</f>
        <v>6.9509345794392566E-2</v>
      </c>
      <c r="L12" s="7">
        <f>('Imputed Data'!L12-'Imputed Data'!L11)/'Imputed Data'!L11</f>
        <v>8.3876980428705099E-3</v>
      </c>
      <c r="M12" s="7">
        <f>('Imputed Data'!M12-'Imputed Data'!M11)/'Imputed Data'!M11</f>
        <v>-4.8685491723466402E-3</v>
      </c>
      <c r="N12" s="7">
        <f>('Imputed Data'!N12-'Imputed Data'!N11)/'Imputed Data'!N11</f>
        <v>6.439742410303614E-3</v>
      </c>
      <c r="O12" s="7">
        <f>('Imputed Data'!O12-'Imputed Data'!O11)/'Imputed Data'!O11</f>
        <v>5.3956834532373592E-3</v>
      </c>
      <c r="P12" s="7">
        <f>('Imputed Data'!P12-'Imputed Data'!P11)/'Imputed Data'!P11</f>
        <v>9.53206239168106E-3</v>
      </c>
      <c r="Q12" s="7">
        <f>('Imputed Data'!Q12-'Imputed Data'!Q11)/'Imputed Data'!Q11</f>
        <v>1.9966722129783624E-2</v>
      </c>
      <c r="R12" s="7">
        <f>('Imputed Data'!R12-'Imputed Data'!R11)/'Imputed Data'!R11</f>
        <v>5.3333333333332828E-3</v>
      </c>
      <c r="S12" s="7">
        <f>('Imputed Data'!S12-'Imputed Data'!S11)/'Imputed Data'!S11</f>
        <v>8.8339222614840993E-3</v>
      </c>
      <c r="T12" s="7">
        <f>('Imputed Data'!T12-'Imputed Data'!T11)/'Imputed Data'!T11</f>
        <v>6.2949640287770035E-3</v>
      </c>
      <c r="U12" s="7">
        <f>('Imputed Data'!U12-'Imputed Data'!U11)/'Imputed Data'!U11</f>
        <v>8.8652482269503553E-3</v>
      </c>
      <c r="V12" s="7">
        <f>('Imputed Data'!V12-'Imputed Data'!V11)/'Imputed Data'!V11</f>
        <v>5.4298642533936138E-3</v>
      </c>
      <c r="W12" s="7">
        <f>('Imputed Data'!W12-'Imputed Data'!W11)/'Imputed Data'!W11</f>
        <v>6.3119927862938553E-3</v>
      </c>
      <c r="X12" s="7">
        <f>('Imputed Data'!X12-'Imputed Data'!X11)/'Imputed Data'!X11</f>
        <v>7.2529465095194671E-3</v>
      </c>
      <c r="Y12" s="7">
        <f>('Imputed Data'!Y12-'Imputed Data'!Y11)/'Imputed Data'!Y11</f>
        <v>6.445672191528572E-3</v>
      </c>
      <c r="Z12" s="7">
        <f>('Imputed Data'!Z12-'Imputed Data'!Z11)/'Imputed Data'!Z11</f>
        <v>0</v>
      </c>
      <c r="AA12" s="7">
        <f>('Imputed Data'!AA12-'Imputed Data'!AA11)/'Imputed Data'!AA11</f>
        <v>4.6253469010175763E-3</v>
      </c>
      <c r="AB12" s="7">
        <f>('Imputed Data'!AB12-'Imputed Data'!AB11)/'Imputed Data'!AB11</f>
        <v>3.6101083032491488E-3</v>
      </c>
      <c r="AC12" s="7">
        <f>('Imputed Data'!AC12-'Imputed Data'!AC11)/'Imputed Data'!AC11</f>
        <v>6.5176908752326681E-3</v>
      </c>
      <c r="AD12" s="7">
        <f>('Imputed Data'!AD12-'Imputed Data'!AD11)/'Imputed Data'!AD11</f>
        <v>4.578754578754579E-3</v>
      </c>
      <c r="AE12" s="7">
        <f>('Imputed Data'!AE12-'Imputed Data'!AE11)/'Imputed Data'!AE11</f>
        <v>1.3066202090592335E-2</v>
      </c>
    </row>
    <row r="13" spans="1:31" x14ac:dyDescent="0.25">
      <c r="A13" s="1">
        <f>'Imputed Data'!A13</f>
        <v>41609</v>
      </c>
      <c r="B13" s="1" t="str">
        <f>'Imputed Data'!B13</f>
        <v>Rural+Urban</v>
      </c>
      <c r="C13" s="2">
        <f>'Imputed Data'!C13</f>
        <v>2013</v>
      </c>
      <c r="D13" s="1" t="str">
        <f>'Imputed Data'!D13</f>
        <v>December</v>
      </c>
      <c r="E13" s="7">
        <f>('Imputed Data'!E13-'Imputed Data'!E12)/'Imputed Data'!E12</f>
        <v>8.4674005080440304E-3</v>
      </c>
      <c r="F13" s="7">
        <f>('Imputed Data'!F13-'Imputed Data'!F12)/'Imputed Data'!F12</f>
        <v>1.1265164644714012E-2</v>
      </c>
      <c r="G13" s="7">
        <f>('Imputed Data'!G13-'Imputed Data'!G12)/'Imputed Data'!G12</f>
        <v>4.0438079191238388E-2</v>
      </c>
      <c r="H13" s="7">
        <f>('Imputed Data'!H13-'Imputed Data'!H12)/'Imputed Data'!H12</f>
        <v>8.0000000000000505E-3</v>
      </c>
      <c r="I13" s="7">
        <f>('Imputed Data'!I13-'Imputed Data'!I12)/'Imputed Data'!I12</f>
        <v>4.6816479400749065E-3</v>
      </c>
      <c r="J13" s="7">
        <f>('Imputed Data'!J13-'Imputed Data'!J12)/'Imputed Data'!J12</f>
        <v>-1.7621145374449589E-3</v>
      </c>
      <c r="K13" s="7">
        <f>('Imputed Data'!K13-'Imputed Data'!K12)/'Imputed Data'!K12</f>
        <v>-0.20589841616602944</v>
      </c>
      <c r="L13" s="7">
        <f>('Imputed Data'!L13-'Imputed Data'!L12)/'Imputed Data'!L12</f>
        <v>4.6210720887245836E-3</v>
      </c>
      <c r="M13" s="7">
        <f>('Imputed Data'!M13-'Imputed Data'!M12)/'Imputed Data'!M12</f>
        <v>-6.8493150684931781E-3</v>
      </c>
      <c r="N13" s="7">
        <f>('Imputed Data'!N13-'Imputed Data'!N12)/'Imputed Data'!N12</f>
        <v>1.005484460694693E-2</v>
      </c>
      <c r="O13" s="7">
        <f>('Imputed Data'!O13-'Imputed Data'!O12)/'Imputed Data'!O12</f>
        <v>2.6833631484794022E-3</v>
      </c>
      <c r="P13" s="7">
        <f>('Imputed Data'!P13-'Imputed Data'!P12)/'Imputed Data'!P12</f>
        <v>7.7253218884120655E-3</v>
      </c>
      <c r="Q13" s="7">
        <f>('Imputed Data'!Q13-'Imputed Data'!Q12)/'Imputed Data'!Q12</f>
        <v>-3.4257748776508883E-2</v>
      </c>
      <c r="R13" s="7">
        <f>('Imputed Data'!R13-'Imputed Data'!R12)/'Imputed Data'!R12</f>
        <v>7.9575596816976631E-3</v>
      </c>
      <c r="S13" s="7">
        <f>('Imputed Data'!S13-'Imputed Data'!S12)/'Imputed Data'!S12</f>
        <v>8.7565674255691769E-3</v>
      </c>
      <c r="T13" s="7">
        <f>('Imputed Data'!T13-'Imputed Data'!T12)/'Imputed Data'!T12</f>
        <v>7.1492403932081955E-3</v>
      </c>
      <c r="U13" s="7">
        <f>('Imputed Data'!U13-'Imputed Data'!U12)/'Imputed Data'!U12</f>
        <v>8.7873462214411256E-3</v>
      </c>
      <c r="V13" s="7">
        <f>('Imputed Data'!V13-'Imputed Data'!V12)/'Imputed Data'!V12</f>
        <v>-3.6003600360035239E-3</v>
      </c>
      <c r="W13" s="7">
        <f>('Imputed Data'!W13-'Imputed Data'!W12)/'Imputed Data'!W12</f>
        <v>2.6881720430108548E-3</v>
      </c>
      <c r="X13" s="7">
        <f>('Imputed Data'!X13-'Imputed Data'!X12)/'Imputed Data'!X12</f>
        <v>5.4005400540054777E-3</v>
      </c>
      <c r="Y13" s="7">
        <f>('Imputed Data'!Y13-'Imputed Data'!Y12)/'Imputed Data'!Y12</f>
        <v>3.6596523330284145E-3</v>
      </c>
      <c r="Z13" s="7">
        <f>('Imputed Data'!Z13-'Imputed Data'!Z12)/'Imputed Data'!Z12</f>
        <v>2.7397260273972343E-3</v>
      </c>
      <c r="AA13" s="7">
        <f>('Imputed Data'!AA13-'Imputed Data'!AA12)/'Imputed Data'!AA12</f>
        <v>3.6832412523020784E-3</v>
      </c>
      <c r="AB13" s="7">
        <f>('Imputed Data'!AB13-'Imputed Data'!AB12)/'Imputed Data'!AB12</f>
        <v>2.6978417266186796E-3</v>
      </c>
      <c r="AC13" s="7">
        <f>('Imputed Data'!AC13-'Imputed Data'!AC12)/'Imputed Data'!AC12</f>
        <v>-1.8501387604069254E-3</v>
      </c>
      <c r="AD13" s="7">
        <f>('Imputed Data'!AD13-'Imputed Data'!AD12)/'Imputed Data'!AD12</f>
        <v>2.7347310847766378E-3</v>
      </c>
      <c r="AE13" s="7">
        <f>('Imputed Data'!AE13-'Imputed Data'!AE12)/'Imputed Data'!AE12</f>
        <v>-1.5477214101461714E-2</v>
      </c>
    </row>
    <row r="14" spans="1:31" x14ac:dyDescent="0.25">
      <c r="A14" s="1">
        <f>'Imputed Data'!A14</f>
        <v>41640</v>
      </c>
      <c r="B14" s="1" t="str">
        <f>'Imputed Data'!B14</f>
        <v>Rural+Urban</v>
      </c>
      <c r="C14" s="2">
        <f>'Imputed Data'!C14</f>
        <v>2014</v>
      </c>
      <c r="D14" s="1" t="str">
        <f>'Imputed Data'!D14</f>
        <v>January</v>
      </c>
      <c r="E14" s="7">
        <f>('Imputed Data'!E14-'Imputed Data'!E13)/'Imputed Data'!E13</f>
        <v>4.1981528127623844E-3</v>
      </c>
      <c r="F14" s="7">
        <f>('Imputed Data'!F14-'Imputed Data'!F13)/'Imputed Data'!F13</f>
        <v>1.7994858611825145E-2</v>
      </c>
      <c r="G14" s="7">
        <f>('Imputed Data'!G14-'Imputed Data'!G13)/'Imputed Data'!G13</f>
        <v>4.8582995951416547E-3</v>
      </c>
      <c r="H14" s="7">
        <f>('Imputed Data'!H14-'Imputed Data'!H13)/'Imputed Data'!H13</f>
        <v>6.1728395061727385E-3</v>
      </c>
      <c r="I14" s="7">
        <f>('Imputed Data'!I14-'Imputed Data'!I13)/'Imputed Data'!I13</f>
        <v>-4.6598322460391431E-3</v>
      </c>
      <c r="J14" s="7">
        <f>('Imputed Data'!J14-'Imputed Data'!J13)/'Imputed Data'!J13</f>
        <v>5.2956751985878949E-3</v>
      </c>
      <c r="K14" s="7">
        <f>('Imputed Data'!K14-'Imputed Data'!K13)/'Imputed Data'!K13</f>
        <v>-0.1595598349381018</v>
      </c>
      <c r="L14" s="7">
        <f>('Imputed Data'!L14-'Imputed Data'!L13)/'Imputed Data'!L13</f>
        <v>1.8399264029439082E-3</v>
      </c>
      <c r="M14" s="7">
        <f>('Imputed Data'!M14-'Imputed Data'!M13)/'Imputed Data'!M13</f>
        <v>-1.2807881773398987E-2</v>
      </c>
      <c r="N14" s="7">
        <f>('Imputed Data'!N14-'Imputed Data'!N13)/'Imputed Data'!N13</f>
        <v>4.5248868778280547E-3</v>
      </c>
      <c r="O14" s="7">
        <f>('Imputed Data'!O14-'Imputed Data'!O13)/'Imputed Data'!O13</f>
        <v>1.7841213202498024E-3</v>
      </c>
      <c r="P14" s="7">
        <f>('Imputed Data'!P14-'Imputed Data'!P13)/'Imputed Data'!P13</f>
        <v>5.9625212947188129E-3</v>
      </c>
      <c r="Q14" s="7">
        <f>('Imputed Data'!Q14-'Imputed Data'!Q13)/'Imputed Data'!Q13</f>
        <v>-2.195945945945953E-2</v>
      </c>
      <c r="R14" s="7">
        <f>('Imputed Data'!R14-'Imputed Data'!R13)/'Imputed Data'!R13</f>
        <v>4.3859649122807015E-3</v>
      </c>
      <c r="S14" s="7">
        <f>('Imputed Data'!S14-'Imputed Data'!S13)/'Imputed Data'!S13</f>
        <v>5.2083333333332836E-3</v>
      </c>
      <c r="T14" s="7">
        <f>('Imputed Data'!T14-'Imputed Data'!T13)/'Imputed Data'!T13</f>
        <v>4.4365572315882874E-3</v>
      </c>
      <c r="U14" s="7">
        <f>('Imputed Data'!U14-'Imputed Data'!U13)/'Imputed Data'!U13</f>
        <v>5.226480836237008E-3</v>
      </c>
      <c r="V14" s="7">
        <f>('Imputed Data'!V14-'Imputed Data'!V13)/'Imputed Data'!V13</f>
        <v>8.1300813008129309E-3</v>
      </c>
      <c r="W14" s="7">
        <f>('Imputed Data'!W14-'Imputed Data'!W13)/'Imputed Data'!W13</f>
        <v>2.6809651474530576E-3</v>
      </c>
      <c r="X14" s="7">
        <f>('Imputed Data'!X14-'Imputed Data'!X13)/'Imputed Data'!X13</f>
        <v>5.3715308863025455E-3</v>
      </c>
      <c r="Y14" s="7">
        <f>('Imputed Data'!Y14-'Imputed Data'!Y13)/'Imputed Data'!Y13</f>
        <v>5.4694621695532755E-3</v>
      </c>
      <c r="Z14" s="7">
        <f>('Imputed Data'!Z14-'Imputed Data'!Z13)/'Imputed Data'!Z13</f>
        <v>8.1967213114754623E-3</v>
      </c>
      <c r="AA14" s="7">
        <f>('Imputed Data'!AA14-'Imputed Data'!AA13)/'Imputed Data'!AA13</f>
        <v>6.4220183486238796E-3</v>
      </c>
      <c r="AB14" s="7">
        <f>('Imputed Data'!AB14-'Imputed Data'!AB13)/'Imputed Data'!AB13</f>
        <v>8.9686098654703425E-4</v>
      </c>
      <c r="AC14" s="7">
        <f>('Imputed Data'!AC14-'Imputed Data'!AC13)/'Imputed Data'!AC13</f>
        <v>2.780352177942513E-3</v>
      </c>
      <c r="AD14" s="7">
        <f>('Imputed Data'!AD14-'Imputed Data'!AD13)/'Imputed Data'!AD13</f>
        <v>5.4545454545454029E-3</v>
      </c>
      <c r="AE14" s="7">
        <f>('Imputed Data'!AE14-'Imputed Data'!AE13)/'Imputed Data'!AE13</f>
        <v>-7.8602620087336733E-3</v>
      </c>
    </row>
    <row r="15" spans="1:31" x14ac:dyDescent="0.25">
      <c r="A15" s="1">
        <f>'Imputed Data'!A15</f>
        <v>41671</v>
      </c>
      <c r="B15" s="1" t="str">
        <f>'Imputed Data'!B15</f>
        <v>Rural+Urban</v>
      </c>
      <c r="C15" s="2">
        <f>'Imputed Data'!C15</f>
        <v>2014</v>
      </c>
      <c r="D15" s="1" t="str">
        <f>'Imputed Data'!D15</f>
        <v>February</v>
      </c>
      <c r="E15" s="7">
        <f>('Imputed Data'!E15-'Imputed Data'!E14)/'Imputed Data'!E14</f>
        <v>5.0167224080268271E-3</v>
      </c>
      <c r="F15" s="7">
        <f>('Imputed Data'!F15-'Imputed Data'!F14)/'Imputed Data'!F14</f>
        <v>3.367003367003415E-3</v>
      </c>
      <c r="G15" s="7">
        <f>('Imputed Data'!G15-'Imputed Data'!G14)/'Imputed Data'!G14</f>
        <v>-1.2892828364222356E-2</v>
      </c>
      <c r="H15" s="7">
        <f>('Imputed Data'!H15-'Imputed Data'!H14)/'Imputed Data'!H14</f>
        <v>8.7642418930762491E-3</v>
      </c>
      <c r="I15" s="7">
        <f>('Imputed Data'!I15-'Imputed Data'!I14)/'Imputed Data'!I14</f>
        <v>-1.8726591760299892E-3</v>
      </c>
      <c r="J15" s="7">
        <f>('Imputed Data'!J15-'Imputed Data'!J14)/'Imputed Data'!J14</f>
        <v>1.3169446883230903E-2</v>
      </c>
      <c r="K15" s="7">
        <f>('Imputed Data'!K15-'Imputed Data'!K14)/'Imputed Data'!K14</f>
        <v>-6.301145662847793E-2</v>
      </c>
      <c r="L15" s="7">
        <f>('Imputed Data'!L15-'Imputed Data'!L14)/'Imputed Data'!L14</f>
        <v>3.6730945821854127E-3</v>
      </c>
      <c r="M15" s="7">
        <f>('Imputed Data'!M15-'Imputed Data'!M14)/'Imputed Data'!M14</f>
        <v>-9.9800399201596807E-3</v>
      </c>
      <c r="N15" s="7">
        <f>('Imputed Data'!N15-'Imputed Data'!N14)/'Imputed Data'!N14</f>
        <v>3.6036036036036548E-3</v>
      </c>
      <c r="O15" s="7">
        <f>('Imputed Data'!O15-'Imputed Data'!O14)/'Imputed Data'!O14</f>
        <v>2.6714158504006873E-3</v>
      </c>
      <c r="P15" s="7">
        <f>('Imputed Data'!P15-'Imputed Data'!P14)/'Imputed Data'!P14</f>
        <v>5.9271803556308457E-3</v>
      </c>
      <c r="Q15" s="7">
        <f>('Imputed Data'!Q15-'Imputed Data'!Q14)/'Imputed Data'!Q14</f>
        <v>-4.3177892918825561E-3</v>
      </c>
      <c r="R15" s="7">
        <f>('Imputed Data'!R15-'Imputed Data'!R14)/'Imputed Data'!R14</f>
        <v>1.7467248908297191E-3</v>
      </c>
      <c r="S15" s="7">
        <f>('Imputed Data'!S15-'Imputed Data'!S14)/'Imputed Data'!S14</f>
        <v>5.1813471502591413E-3</v>
      </c>
      <c r="T15" s="7">
        <f>('Imputed Data'!T15-'Imputed Data'!T14)/'Imputed Data'!T14</f>
        <v>8.8339222614835968E-4</v>
      </c>
      <c r="U15" s="7">
        <f>('Imputed Data'!U15-'Imputed Data'!U14)/'Imputed Data'!U14</f>
        <v>4.3327556325823222E-3</v>
      </c>
      <c r="V15" s="7">
        <f>('Imputed Data'!V15-'Imputed Data'!V14)/'Imputed Data'!V14</f>
        <v>8.0645161290323099E-3</v>
      </c>
      <c r="W15" s="7">
        <f>('Imputed Data'!W15-'Imputed Data'!W14)/'Imputed Data'!W14</f>
        <v>1.7825311942959254E-3</v>
      </c>
      <c r="X15" s="7">
        <f>('Imputed Data'!X15-'Imputed Data'!X14)/'Imputed Data'!X14</f>
        <v>4.4523597506678537E-3</v>
      </c>
      <c r="Y15" s="7">
        <f>('Imputed Data'!Y15-'Imputed Data'!Y14)/'Imputed Data'!Y14</f>
        <v>3.6264732547597977E-3</v>
      </c>
      <c r="Z15" s="7">
        <f>('Imputed Data'!Z15-'Imputed Data'!Z14)/'Imputed Data'!Z14</f>
        <v>3.6133694670279267E-3</v>
      </c>
      <c r="AA15" s="7">
        <f>('Imputed Data'!AA15-'Imputed Data'!AA14)/'Imputed Data'!AA14</f>
        <v>3.6463081130354738E-3</v>
      </c>
      <c r="AB15" s="7">
        <f>('Imputed Data'!AB15-'Imputed Data'!AB14)/'Imputed Data'!AB14</f>
        <v>1.7921146953405274E-3</v>
      </c>
      <c r="AC15" s="7">
        <f>('Imputed Data'!AC15-'Imputed Data'!AC14)/'Imputed Data'!AC14</f>
        <v>4.6210720887245836E-3</v>
      </c>
      <c r="AD15" s="7">
        <f>('Imputed Data'!AD15-'Imputed Data'!AD14)/'Imputed Data'!AD14</f>
        <v>2.7124773960218026E-3</v>
      </c>
      <c r="AE15" s="7">
        <f>('Imputed Data'!AE15-'Imputed Data'!AE14)/'Imputed Data'!AE14</f>
        <v>0</v>
      </c>
    </row>
    <row r="16" spans="1:31" x14ac:dyDescent="0.25">
      <c r="A16" s="1">
        <f>'Imputed Data'!A16</f>
        <v>41699</v>
      </c>
      <c r="B16" s="1" t="str">
        <f>'Imputed Data'!B16</f>
        <v>Rural+Urban</v>
      </c>
      <c r="C16" s="2">
        <f>'Imputed Data'!C16</f>
        <v>2014</v>
      </c>
      <c r="D16" s="1" t="str">
        <f>'Imputed Data'!D16</f>
        <v>March</v>
      </c>
      <c r="E16" s="7">
        <f>('Imputed Data'!E16-'Imputed Data'!E15)/'Imputed Data'!E15</f>
        <v>4.1597337770382693E-3</v>
      </c>
      <c r="F16" s="7">
        <f>('Imputed Data'!F16-'Imputed Data'!F15)/'Imputed Data'!F15</f>
        <v>8.3892617449659657E-4</v>
      </c>
      <c r="G16" s="7">
        <f>('Imputed Data'!G16-'Imputed Data'!G15)/'Imputed Data'!G15</f>
        <v>-1.2244897959183673E-2</v>
      </c>
      <c r="H16" s="7">
        <f>('Imputed Data'!H16-'Imputed Data'!H15)/'Imputed Data'!H15</f>
        <v>8.6880973066898355E-3</v>
      </c>
      <c r="I16" s="7">
        <f>('Imputed Data'!I16-'Imputed Data'!I15)/'Imputed Data'!I15</f>
        <v>2.8142589118199941E-3</v>
      </c>
      <c r="J16" s="7">
        <f>('Imputed Data'!J16-'Imputed Data'!J15)/'Imputed Data'!J15</f>
        <v>2.8596187175043301E-2</v>
      </c>
      <c r="K16" s="7">
        <f>('Imputed Data'!K16-'Imputed Data'!K15)/'Imputed Data'!K15</f>
        <v>1.5720524017467225E-2</v>
      </c>
      <c r="L16" s="7">
        <f>('Imputed Data'!L16-'Imputed Data'!L15)/'Imputed Data'!L15</f>
        <v>4.5745654162854532E-3</v>
      </c>
      <c r="M16" s="7">
        <f>('Imputed Data'!M16-'Imputed Data'!M15)/'Imputed Data'!M15</f>
        <v>4.0322580645160431E-3</v>
      </c>
      <c r="N16" s="7">
        <f>('Imputed Data'!N16-'Imputed Data'!N15)/'Imputed Data'!N15</f>
        <v>3.5906642728904081E-3</v>
      </c>
      <c r="O16" s="7">
        <f>('Imputed Data'!O16-'Imputed Data'!O15)/'Imputed Data'!O15</f>
        <v>8.8809946714039553E-4</v>
      </c>
      <c r="P16" s="7">
        <f>('Imputed Data'!P16-'Imputed Data'!P15)/'Imputed Data'!P15</f>
        <v>4.2087542087542087E-3</v>
      </c>
      <c r="Q16" s="7">
        <f>('Imputed Data'!Q16-'Imputed Data'!Q15)/'Imputed Data'!Q15</f>
        <v>6.9384215091066537E-3</v>
      </c>
      <c r="R16" s="7">
        <f>('Imputed Data'!R16-'Imputed Data'!R15)/'Imputed Data'!R15</f>
        <v>4.3591979075850041E-3</v>
      </c>
      <c r="S16" s="7">
        <f>('Imputed Data'!S16-'Imputed Data'!S15)/'Imputed Data'!S15</f>
        <v>3.4364261168384146E-3</v>
      </c>
      <c r="T16" s="7">
        <f>('Imputed Data'!T16-'Imputed Data'!T15)/'Imputed Data'!T15</f>
        <v>3.5304501323919304E-3</v>
      </c>
      <c r="U16" s="7">
        <f>('Imputed Data'!U16-'Imputed Data'!U15)/'Imputed Data'!U15</f>
        <v>4.3140638481449526E-3</v>
      </c>
      <c r="V16" s="7">
        <f>('Imputed Data'!V16-'Imputed Data'!V15)/'Imputed Data'!V15</f>
        <v>6.2222222222222479E-3</v>
      </c>
      <c r="W16" s="7">
        <f>('Imputed Data'!W16-'Imputed Data'!W15)/'Imputed Data'!W15</f>
        <v>8.8967971530244053E-4</v>
      </c>
      <c r="X16" s="7">
        <f>('Imputed Data'!X16-'Imputed Data'!X15)/'Imputed Data'!X15</f>
        <v>3.5460992907801925E-3</v>
      </c>
      <c r="Y16" s="7">
        <f>('Imputed Data'!Y16-'Imputed Data'!Y15)/'Imputed Data'!Y15</f>
        <v>4.5167118337850042E-3</v>
      </c>
      <c r="Z16" s="7">
        <f>('Imputed Data'!Z16-'Imputed Data'!Z15)/'Imputed Data'!Z15</f>
        <v>2.7002700270028026E-3</v>
      </c>
      <c r="AA16" s="7">
        <f>('Imputed Data'!AA16-'Imputed Data'!AA15)/'Imputed Data'!AA15</f>
        <v>4.5413260672116261E-3</v>
      </c>
      <c r="AB16" s="7">
        <f>('Imputed Data'!AB16-'Imputed Data'!AB15)/'Imputed Data'!AB15</f>
        <v>1.7889087656529771E-3</v>
      </c>
      <c r="AC16" s="7">
        <f>('Imputed Data'!AC16-'Imputed Data'!AC15)/'Imputed Data'!AC15</f>
        <v>2.7598896044157971E-3</v>
      </c>
      <c r="AD16" s="7">
        <f>('Imputed Data'!AD16-'Imputed Data'!AD15)/'Imputed Data'!AD15</f>
        <v>3.6068530207393279E-3</v>
      </c>
      <c r="AE16" s="7">
        <f>('Imputed Data'!AE16-'Imputed Data'!AE15)/'Imputed Data'!AE15</f>
        <v>5.2816901408451458E-3</v>
      </c>
    </row>
    <row r="17" spans="1:31" x14ac:dyDescent="0.25">
      <c r="A17" s="1">
        <f>'Imputed Data'!A17</f>
        <v>41730</v>
      </c>
      <c r="B17" s="1" t="str">
        <f>'Imputed Data'!B17</f>
        <v>Rural+Urban</v>
      </c>
      <c r="C17" s="2">
        <f>'Imputed Data'!C17</f>
        <v>2014</v>
      </c>
      <c r="D17" s="1" t="str">
        <f>'Imputed Data'!D17</f>
        <v>April</v>
      </c>
      <c r="E17" s="7">
        <f>('Imputed Data'!E17-'Imputed Data'!E16)/'Imputed Data'!E16</f>
        <v>1.6570008285004378E-3</v>
      </c>
      <c r="F17" s="7">
        <f>('Imputed Data'!F17-'Imputed Data'!F16)/'Imputed Data'!F16</f>
        <v>5.0293378038558968E-3</v>
      </c>
      <c r="G17" s="7">
        <f>('Imputed Data'!G17-'Imputed Data'!G16)/'Imputed Data'!G16</f>
        <v>-3.9669421487603281E-2</v>
      </c>
      <c r="H17" s="7">
        <f>('Imputed Data'!H17-'Imputed Data'!H16)/'Imputed Data'!H16</f>
        <v>7.7519379844961734E-3</v>
      </c>
      <c r="I17" s="7">
        <f>('Imputed Data'!I17-'Imputed Data'!I16)/'Imputed Data'!I16</f>
        <v>3.7418147801683019E-3</v>
      </c>
      <c r="J17" s="7">
        <f>('Imputed Data'!J17-'Imputed Data'!J16)/'Imputed Data'!J16</f>
        <v>6.2342038753159149E-2</v>
      </c>
      <c r="K17" s="7">
        <f>('Imputed Data'!K17-'Imputed Data'!K16)/'Imputed Data'!K16</f>
        <v>3.7833190025795403E-2</v>
      </c>
      <c r="L17" s="7">
        <f>('Imputed Data'!L17-'Imputed Data'!L16)/'Imputed Data'!L16</f>
        <v>1.0928961748633906E-2</v>
      </c>
      <c r="M17" s="7">
        <f>('Imputed Data'!M17-'Imputed Data'!M16)/'Imputed Data'!M16</f>
        <v>2.2088353413654647E-2</v>
      </c>
      <c r="N17" s="7">
        <f>('Imputed Data'!N17-'Imputed Data'!N16)/'Imputed Data'!N16</f>
        <v>7.1556350626117817E-3</v>
      </c>
      <c r="O17" s="7">
        <f>('Imputed Data'!O17-'Imputed Data'!O16)/'Imputed Data'!O16</f>
        <v>4.4365572315882874E-3</v>
      </c>
      <c r="P17" s="7">
        <f>('Imputed Data'!P17-'Imputed Data'!P16)/'Imputed Data'!P16</f>
        <v>4.1911148365465214E-3</v>
      </c>
      <c r="Q17" s="7">
        <f>('Imputed Data'!Q17-'Imputed Data'!Q16)/'Imputed Data'!Q16</f>
        <v>1.2919896640826874E-2</v>
      </c>
      <c r="R17" s="7">
        <f>('Imputed Data'!R17-'Imputed Data'!R16)/'Imputed Data'!R16</f>
        <v>6.9444444444444198E-3</v>
      </c>
      <c r="S17" s="7">
        <f>('Imputed Data'!S17-'Imputed Data'!S16)/'Imputed Data'!S16</f>
        <v>5.1369863013699365E-3</v>
      </c>
      <c r="T17" s="7">
        <f>('Imputed Data'!T17-'Imputed Data'!T16)/'Imputed Data'!T16</f>
        <v>7.915567282321824E-3</v>
      </c>
      <c r="U17" s="7">
        <f>('Imputed Data'!U17-'Imputed Data'!U16)/'Imputed Data'!U16</f>
        <v>5.1546391752576833E-3</v>
      </c>
      <c r="V17" s="7">
        <f>('Imputed Data'!V17-'Imputed Data'!V16)/'Imputed Data'!V16</f>
        <v>6.1837455830388941E-3</v>
      </c>
      <c r="W17" s="7">
        <f>('Imputed Data'!W17-'Imputed Data'!W16)/'Imputed Data'!W16</f>
        <v>0</v>
      </c>
      <c r="X17" s="7">
        <f>('Imputed Data'!X17-'Imputed Data'!X16)/'Imputed Data'!X16</f>
        <v>3.5335689045935641E-3</v>
      </c>
      <c r="Y17" s="7">
        <f>('Imputed Data'!Y17-'Imputed Data'!Y16)/'Imputed Data'!Y16</f>
        <v>2.6978417266186796E-3</v>
      </c>
      <c r="Z17" s="7">
        <f>('Imputed Data'!Z17-'Imputed Data'!Z16)/'Imputed Data'!Z16</f>
        <v>-1.7953321364452678E-3</v>
      </c>
      <c r="AA17" s="7">
        <f>('Imputed Data'!AA17-'Imputed Data'!AA16)/'Imputed Data'!AA16</f>
        <v>2.7124773960218026E-3</v>
      </c>
      <c r="AB17" s="7">
        <f>('Imputed Data'!AB17-'Imputed Data'!AB16)/'Imputed Data'!AB16</f>
        <v>6.2500000000000255E-3</v>
      </c>
      <c r="AC17" s="7">
        <f>('Imputed Data'!AC17-'Imputed Data'!AC16)/'Imputed Data'!AC16</f>
        <v>0</v>
      </c>
      <c r="AD17" s="7">
        <f>('Imputed Data'!AD17-'Imputed Data'!AD16)/'Imputed Data'!AD16</f>
        <v>1.7969451931716339E-3</v>
      </c>
      <c r="AE17" s="7">
        <f>('Imputed Data'!AE17-'Imputed Data'!AE16)/'Imputed Data'!AE16</f>
        <v>7.8809106830121847E-3</v>
      </c>
    </row>
    <row r="18" spans="1:31" x14ac:dyDescent="0.25">
      <c r="A18" s="1">
        <f>'Imputed Data'!A18</f>
        <v>41760</v>
      </c>
      <c r="B18" s="1" t="str">
        <f>'Imputed Data'!B18</f>
        <v>Rural+Urban</v>
      </c>
      <c r="C18" s="2">
        <f>'Imputed Data'!C18</f>
        <v>2014</v>
      </c>
      <c r="D18" s="1" t="str">
        <f>'Imputed Data'!D18</f>
        <v>May</v>
      </c>
      <c r="E18" s="7">
        <f>('Imputed Data'!E18-'Imputed Data'!E17)/'Imputed Data'!E17</f>
        <v>1.6542597187757537E-3</v>
      </c>
      <c r="F18" s="7">
        <f>('Imputed Data'!F18-'Imputed Data'!F17)/'Imputed Data'!F17</f>
        <v>1.417848206839023E-2</v>
      </c>
      <c r="G18" s="7">
        <f>('Imputed Data'!G18-'Imputed Data'!G17)/'Imputed Data'!G17</f>
        <v>-2.5817555938037621E-3</v>
      </c>
      <c r="H18" s="7">
        <f>('Imputed Data'!H18-'Imputed Data'!H17)/'Imputed Data'!H17</f>
        <v>1.1965811965812015E-2</v>
      </c>
      <c r="I18" s="7">
        <f>('Imputed Data'!I18-'Imputed Data'!I17)/'Imputed Data'!I17</f>
        <v>3.7278657968313673E-3</v>
      </c>
      <c r="J18" s="7">
        <f>('Imputed Data'!J18-'Imputed Data'!J17)/'Imputed Data'!J17</f>
        <v>1.2688342585249869E-2</v>
      </c>
      <c r="K18" s="7">
        <f>('Imputed Data'!K18-'Imputed Data'!K17)/'Imputed Data'!K17</f>
        <v>3.5625517812758883E-2</v>
      </c>
      <c r="L18" s="7">
        <f>('Imputed Data'!L18-'Imputed Data'!L17)/'Imputed Data'!L17</f>
        <v>8.1081081081081589E-3</v>
      </c>
      <c r="M18" s="7">
        <f>('Imputed Data'!M18-'Imputed Data'!M17)/'Imputed Data'!M17</f>
        <v>9.823182711198428E-3</v>
      </c>
      <c r="N18" s="7">
        <f>('Imputed Data'!N18-'Imputed Data'!N17)/'Imputed Data'!N17</f>
        <v>7.1047957371226595E-3</v>
      </c>
      <c r="O18" s="7">
        <f>('Imputed Data'!O18-'Imputed Data'!O17)/'Imputed Data'!O17</f>
        <v>4.4169611307420496E-3</v>
      </c>
      <c r="P18" s="7">
        <f>('Imputed Data'!P18-'Imputed Data'!P17)/'Imputed Data'!P17</f>
        <v>5.0083472454090861E-3</v>
      </c>
      <c r="Q18" s="7">
        <f>('Imputed Data'!Q18-'Imputed Data'!Q17)/'Imputed Data'!Q17</f>
        <v>1.105442176870758E-2</v>
      </c>
      <c r="R18" s="7">
        <f>('Imputed Data'!R18-'Imputed Data'!R17)/'Imputed Data'!R17</f>
        <v>6.8965517241379067E-3</v>
      </c>
      <c r="S18" s="7">
        <f>('Imputed Data'!S18-'Imputed Data'!S17)/'Imputed Data'!S17</f>
        <v>5.1107325383304451E-3</v>
      </c>
      <c r="T18" s="7">
        <f>('Imputed Data'!T18-'Imputed Data'!T17)/'Imputed Data'!T17</f>
        <v>5.2356020942409126E-3</v>
      </c>
      <c r="U18" s="7">
        <f>('Imputed Data'!U18-'Imputed Data'!U17)/'Imputed Data'!U17</f>
        <v>5.1282051282050796E-3</v>
      </c>
      <c r="V18" s="7">
        <f>('Imputed Data'!V18-'Imputed Data'!V17)/'Imputed Data'!V17</f>
        <v>3.5118525021948328E-3</v>
      </c>
      <c r="W18" s="7">
        <f>('Imputed Data'!W18-'Imputed Data'!W17)/'Imputed Data'!W17</f>
        <v>0</v>
      </c>
      <c r="X18" s="7">
        <f>('Imputed Data'!X18-'Imputed Data'!X17)/'Imputed Data'!X17</f>
        <v>4.4014084507042256E-3</v>
      </c>
      <c r="Y18" s="7">
        <f>('Imputed Data'!Y18-'Imputed Data'!Y17)/'Imputed Data'!Y17</f>
        <v>2.6905829596412302E-3</v>
      </c>
      <c r="Z18" s="7">
        <f>('Imputed Data'!Z18-'Imputed Data'!Z17)/'Imputed Data'!Z17</f>
        <v>8.9928057553951722E-4</v>
      </c>
      <c r="AA18" s="7">
        <f>('Imputed Data'!AA18-'Imputed Data'!AA17)/'Imputed Data'!AA17</f>
        <v>2.7051397655545278E-3</v>
      </c>
      <c r="AB18" s="7">
        <f>('Imputed Data'!AB18-'Imputed Data'!AB17)/'Imputed Data'!AB17</f>
        <v>2.6619343389529472E-3</v>
      </c>
      <c r="AC18" s="7">
        <f>('Imputed Data'!AC18-'Imputed Data'!AC17)/'Imputed Data'!AC17</f>
        <v>9.1743119266049836E-4</v>
      </c>
      <c r="AD18" s="7">
        <f>('Imputed Data'!AD18-'Imputed Data'!AD17)/'Imputed Data'!AD17</f>
        <v>2.6905829596412302E-3</v>
      </c>
      <c r="AE18" s="7">
        <f>('Imputed Data'!AE18-'Imputed Data'!AE17)/'Imputed Data'!AE17</f>
        <v>6.0816681146829091E-3</v>
      </c>
    </row>
    <row r="19" spans="1:31" x14ac:dyDescent="0.25">
      <c r="A19" s="1">
        <f>'Imputed Data'!A19</f>
        <v>41791</v>
      </c>
      <c r="B19" s="1" t="str">
        <f>'Imputed Data'!B19</f>
        <v>Rural+Urban</v>
      </c>
      <c r="C19" s="2">
        <f>'Imputed Data'!C19</f>
        <v>2014</v>
      </c>
      <c r="D19" s="1" t="str">
        <f>'Imputed Data'!D19</f>
        <v>June</v>
      </c>
      <c r="E19" s="7">
        <f>('Imputed Data'!E19-'Imputed Data'!E18)/'Imputed Data'!E18</f>
        <v>3.3030553261767606E-3</v>
      </c>
      <c r="F19" s="7">
        <f>('Imputed Data'!F19-'Imputed Data'!F18)/'Imputed Data'!F18</f>
        <v>1.2335526315789474E-2</v>
      </c>
      <c r="G19" s="7">
        <f>('Imputed Data'!G19-'Imputed Data'!G18)/'Imputed Data'!G18</f>
        <v>-8.6281276962906406E-4</v>
      </c>
      <c r="H19" s="7">
        <f>('Imputed Data'!H19-'Imputed Data'!H18)/'Imputed Data'!H18</f>
        <v>1.0979729729729706E-2</v>
      </c>
      <c r="I19" s="7">
        <f>('Imputed Data'!I19-'Imputed Data'!I18)/'Imputed Data'!I18</f>
        <v>9.2850510677803448E-4</v>
      </c>
      <c r="J19" s="7">
        <f>('Imputed Data'!J19-'Imputed Data'!J18)/'Imputed Data'!J18</f>
        <v>4.6985121378230891E-3</v>
      </c>
      <c r="K19" s="7">
        <f>('Imputed Data'!K19-'Imputed Data'!K18)/'Imputed Data'!K18</f>
        <v>5.6799999999999955E-2</v>
      </c>
      <c r="L19" s="7">
        <f>('Imputed Data'!L19-'Imputed Data'!L18)/'Imputed Data'!L18</f>
        <v>4.4682752457551383E-3</v>
      </c>
      <c r="M19" s="7">
        <f>('Imputed Data'!M19-'Imputed Data'!M18)/'Imputed Data'!M18</f>
        <v>9.7276264591447984E-4</v>
      </c>
      <c r="N19" s="7">
        <f>('Imputed Data'!N19-'Imputed Data'!N18)/'Imputed Data'!N18</f>
        <v>7.9365079365078615E-3</v>
      </c>
      <c r="O19" s="7">
        <f>('Imputed Data'!O19-'Imputed Data'!O18)/'Imputed Data'!O18</f>
        <v>4.3975373790677216E-3</v>
      </c>
      <c r="P19" s="7">
        <f>('Imputed Data'!P19-'Imputed Data'!P18)/'Imputed Data'!P18</f>
        <v>6.644518272425225E-3</v>
      </c>
      <c r="Q19" s="7">
        <f>('Imputed Data'!Q19-'Imputed Data'!Q18)/'Imputed Data'!Q18</f>
        <v>1.2615643397813289E-2</v>
      </c>
      <c r="R19" s="7">
        <f>('Imputed Data'!R19-'Imputed Data'!R18)/'Imputed Data'!R18</f>
        <v>8.5616438356164379E-3</v>
      </c>
      <c r="S19" s="7">
        <f>('Imputed Data'!S19-'Imputed Data'!S18)/'Imputed Data'!S18</f>
        <v>6.7796610169491281E-3</v>
      </c>
      <c r="T19" s="7">
        <f>('Imputed Data'!T19-'Imputed Data'!T18)/'Imputed Data'!T18</f>
        <v>3.4722222222221483E-3</v>
      </c>
      <c r="U19" s="7">
        <f>('Imputed Data'!U19-'Imputed Data'!U18)/'Imputed Data'!U18</f>
        <v>5.9523809523809772E-3</v>
      </c>
      <c r="V19" s="7">
        <f>('Imputed Data'!V19-'Imputed Data'!V18)/'Imputed Data'!V18</f>
        <v>-3.4995625546805904E-3</v>
      </c>
      <c r="W19" s="7">
        <f>('Imputed Data'!W19-'Imputed Data'!W18)/'Imputed Data'!W18</f>
        <v>6.2222222222222479E-3</v>
      </c>
      <c r="X19" s="7">
        <f>('Imputed Data'!X19-'Imputed Data'!X18)/'Imputed Data'!X18</f>
        <v>4.3821209465381246E-3</v>
      </c>
      <c r="Y19" s="7">
        <f>('Imputed Data'!Y19-'Imputed Data'!Y18)/'Imputed Data'!Y18</f>
        <v>4.4722719141323791E-3</v>
      </c>
      <c r="Z19" s="7">
        <f>('Imputed Data'!Z19-'Imputed Data'!Z18)/'Imputed Data'!Z18</f>
        <v>4.4923629829290209E-3</v>
      </c>
      <c r="AA19" s="7">
        <f>('Imputed Data'!AA19-'Imputed Data'!AA18)/'Imputed Data'!AA18</f>
        <v>3.5971223021581968E-3</v>
      </c>
      <c r="AB19" s="7">
        <f>('Imputed Data'!AB19-'Imputed Data'!AB18)/'Imputed Data'!AB18</f>
        <v>1.5929203539822984E-2</v>
      </c>
      <c r="AC19" s="7">
        <f>('Imputed Data'!AC19-'Imputed Data'!AC18)/'Imputed Data'!AC18</f>
        <v>-7.3327222731438789E-3</v>
      </c>
      <c r="AD19" s="7">
        <f>('Imputed Data'!AD19-'Imputed Data'!AD18)/'Imputed Data'!AD18</f>
        <v>4.4722719141323791E-3</v>
      </c>
      <c r="AE19" s="7">
        <f>('Imputed Data'!AE19-'Imputed Data'!AE18)/'Imputed Data'!AE18</f>
        <v>7.7720207253886503E-3</v>
      </c>
    </row>
    <row r="20" spans="1:31" x14ac:dyDescent="0.25">
      <c r="A20" s="1">
        <f>'Imputed Data'!A20</f>
        <v>41821</v>
      </c>
      <c r="B20" s="1" t="str">
        <f>'Imputed Data'!B20</f>
        <v>Rural+Urban</v>
      </c>
      <c r="C20" s="2">
        <f>'Imputed Data'!C20</f>
        <v>2014</v>
      </c>
      <c r="D20" s="1" t="str">
        <f>'Imputed Data'!D20</f>
        <v>July</v>
      </c>
      <c r="E20" s="7">
        <f>('Imputed Data'!E20-'Imputed Data'!E19)/'Imputed Data'!E19</f>
        <v>7.4074074074074545E-3</v>
      </c>
      <c r="F20" s="7">
        <f>('Imputed Data'!F20-'Imputed Data'!F19)/'Imputed Data'!F19</f>
        <v>6.4987814784728789E-3</v>
      </c>
      <c r="G20" s="7">
        <f>('Imputed Data'!G20-'Imputed Data'!G19)/'Imputed Data'!G19</f>
        <v>1.7271157167530225E-2</v>
      </c>
      <c r="H20" s="7">
        <f>('Imputed Data'!H20-'Imputed Data'!H19)/'Imputed Data'!H19</f>
        <v>1.0860484544695048E-2</v>
      </c>
      <c r="I20" s="7">
        <f>('Imputed Data'!I20-'Imputed Data'!I19)/'Imputed Data'!I19</f>
        <v>9.2764378478672109E-4</v>
      </c>
      <c r="J20" s="7">
        <f>('Imputed Data'!J20-'Imputed Data'!J19)/'Imputed Data'!J19</f>
        <v>2.2603273577552433E-2</v>
      </c>
      <c r="K20" s="7">
        <f>('Imputed Data'!K20-'Imputed Data'!K19)/'Imputed Data'!K19</f>
        <v>0.19379258137774411</v>
      </c>
      <c r="L20" s="7">
        <f>('Imputed Data'!L20-'Imputed Data'!L19)/'Imputed Data'!L19</f>
        <v>7.1174377224199033E-3</v>
      </c>
      <c r="M20" s="7">
        <f>('Imputed Data'!M20-'Imputed Data'!M19)/'Imputed Data'!M19</f>
        <v>1.1661807580174816E-2</v>
      </c>
      <c r="N20" s="7">
        <f>('Imputed Data'!N20-'Imputed Data'!N19)/'Imputed Data'!N19</f>
        <v>1.0498687664042021E-2</v>
      </c>
      <c r="O20" s="7">
        <f>('Imputed Data'!O20-'Imputed Data'!O19)/'Imputed Data'!O19</f>
        <v>5.2539404553414559E-3</v>
      </c>
      <c r="P20" s="7">
        <f>('Imputed Data'!P20-'Imputed Data'!P19)/'Imputed Data'!P19</f>
        <v>7.4257425742573551E-3</v>
      </c>
      <c r="Q20" s="7">
        <f>('Imputed Data'!Q20-'Imputed Data'!Q19)/'Imputed Data'!Q19</f>
        <v>3.5714285714285691E-2</v>
      </c>
      <c r="R20" s="7">
        <f>('Imputed Data'!R20-'Imputed Data'!R19)/'Imputed Data'!R19</f>
        <v>8.4889643463497456E-3</v>
      </c>
      <c r="S20" s="7">
        <f>('Imputed Data'!S20-'Imputed Data'!S19)/'Imputed Data'!S19</f>
        <v>6.7340067340067103E-3</v>
      </c>
      <c r="T20" s="7">
        <f>('Imputed Data'!T20-'Imputed Data'!T19)/'Imputed Data'!T19</f>
        <v>6.0553633217993331E-3</v>
      </c>
      <c r="U20" s="7">
        <f>('Imputed Data'!U20-'Imputed Data'!U19)/'Imputed Data'!U19</f>
        <v>6.7624683009298156E-3</v>
      </c>
      <c r="V20" s="7">
        <f>('Imputed Data'!V20-'Imputed Data'!V19)/'Imputed Data'!V19</f>
        <v>7.9016681299384668E-3</v>
      </c>
      <c r="W20" s="7">
        <f>('Imputed Data'!W20-'Imputed Data'!W19)/'Imputed Data'!W19</f>
        <v>6.1837455830388941E-3</v>
      </c>
      <c r="X20" s="7">
        <f>('Imputed Data'!X20-'Imputed Data'!X19)/'Imputed Data'!X19</f>
        <v>5.2356020942409126E-3</v>
      </c>
      <c r="Y20" s="7">
        <f>('Imputed Data'!Y20-'Imputed Data'!Y19)/'Imputed Data'!Y19</f>
        <v>3.5618878005343338E-3</v>
      </c>
      <c r="Z20" s="7">
        <f>('Imputed Data'!Z20-'Imputed Data'!Z19)/'Imputed Data'!Z19</f>
        <v>1.1627906976744162E-2</v>
      </c>
      <c r="AA20" s="7">
        <f>('Imputed Data'!AA20-'Imputed Data'!AA19)/'Imputed Data'!AA19</f>
        <v>4.4802867383512551E-3</v>
      </c>
      <c r="AB20" s="7">
        <f>('Imputed Data'!AB20-'Imputed Data'!AB19)/'Imputed Data'!AB19</f>
        <v>1.7421602787456445E-2</v>
      </c>
      <c r="AC20" s="7">
        <f>('Imputed Data'!AC20-'Imputed Data'!AC19)/'Imputed Data'!AC19</f>
        <v>8.3102493074792769E-3</v>
      </c>
      <c r="AD20" s="7">
        <f>('Imputed Data'!AD20-'Imputed Data'!AD19)/'Imputed Data'!AD19</f>
        <v>8.9047195013357075E-3</v>
      </c>
      <c r="AE20" s="7">
        <f>('Imputed Data'!AE20-'Imputed Data'!AE19)/'Imputed Data'!AE19</f>
        <v>2.1422450728363324E-2</v>
      </c>
    </row>
    <row r="21" spans="1:31" x14ac:dyDescent="0.25">
      <c r="A21" s="1">
        <f>'Imputed Data'!A21</f>
        <v>41852</v>
      </c>
      <c r="B21" s="1" t="str">
        <f>'Imputed Data'!B21</f>
        <v>Rural+Urban</v>
      </c>
      <c r="C21" s="2">
        <f>'Imputed Data'!C21</f>
        <v>2014</v>
      </c>
      <c r="D21" s="1" t="str">
        <f>'Imputed Data'!D21</f>
        <v>August</v>
      </c>
      <c r="E21" s="7">
        <f>('Imputed Data'!E21-'Imputed Data'!E20)/'Imputed Data'!E20</f>
        <v>2.4509803921568393E-3</v>
      </c>
      <c r="F21" s="7">
        <f>('Imputed Data'!F21-'Imputed Data'!F20)/'Imputed Data'!F20</f>
        <v>4.0355125100887809E-3</v>
      </c>
      <c r="G21" s="7">
        <f>('Imputed Data'!G21-'Imputed Data'!G20)/'Imputed Data'!G20</f>
        <v>-4.2444821731748728E-3</v>
      </c>
      <c r="H21" s="7">
        <f>('Imputed Data'!H21-'Imputed Data'!H20)/'Imputed Data'!H20</f>
        <v>8.2644628099173556E-3</v>
      </c>
      <c r="I21" s="7">
        <f>('Imputed Data'!I21-'Imputed Data'!I20)/'Imputed Data'!I20</f>
        <v>9.2678405931412712E-4</v>
      </c>
      <c r="J21" s="7">
        <f>('Imputed Data'!J21-'Imputed Data'!J20)/'Imputed Data'!J20</f>
        <v>-7.6219512195117628E-4</v>
      </c>
      <c r="K21" s="7">
        <f>('Imputed Data'!K21-'Imputed Data'!K20)/'Imputed Data'!K20</f>
        <v>6.6582117945466077E-2</v>
      </c>
      <c r="L21" s="7">
        <f>('Imputed Data'!L21-'Imputed Data'!L20)/'Imputed Data'!L20</f>
        <v>1.1484098939929303E-2</v>
      </c>
      <c r="M21" s="7">
        <f>('Imputed Data'!M21-'Imputed Data'!M20)/'Imputed Data'!M20</f>
        <v>1.9212295869356663E-3</v>
      </c>
      <c r="N21" s="7">
        <f>('Imputed Data'!N21-'Imputed Data'!N20)/'Imputed Data'!N20</f>
        <v>1.3852813852813804E-2</v>
      </c>
      <c r="O21" s="7">
        <f>('Imputed Data'!O21-'Imputed Data'!O20)/'Imputed Data'!O20</f>
        <v>3.4843205574913386E-3</v>
      </c>
      <c r="P21" s="7">
        <f>('Imputed Data'!P21-'Imputed Data'!P20)/'Imputed Data'!P20</f>
        <v>8.1900081900081901E-3</v>
      </c>
      <c r="Q21" s="7">
        <f>('Imputed Data'!Q21-'Imputed Data'!Q20)/'Imputed Data'!Q20</f>
        <v>1.5236567762630245E-2</v>
      </c>
      <c r="R21" s="7">
        <f>('Imputed Data'!R21-'Imputed Data'!R20)/'Imputed Data'!R20</f>
        <v>9.2592592592593316E-3</v>
      </c>
      <c r="S21" s="7">
        <f>('Imputed Data'!S21-'Imputed Data'!S20)/'Imputed Data'!S20</f>
        <v>3.3444816053512182E-3</v>
      </c>
      <c r="T21" s="7">
        <f>('Imputed Data'!T21-'Imputed Data'!T20)/'Imputed Data'!T20</f>
        <v>4.2992261392949269E-3</v>
      </c>
      <c r="U21" s="7">
        <f>('Imputed Data'!U21-'Imputed Data'!U20)/'Imputed Data'!U20</f>
        <v>4.1981528127623844E-3</v>
      </c>
      <c r="V21" s="7">
        <f>('Imputed Data'!V21-'Imputed Data'!V20)/'Imputed Data'!V20</f>
        <v>6.0975609756097806E-3</v>
      </c>
      <c r="W21" s="7">
        <f>('Imputed Data'!W21-'Imputed Data'!W20)/'Imputed Data'!W20</f>
        <v>8.7796312554867697E-4</v>
      </c>
      <c r="X21" s="7">
        <f>('Imputed Data'!X21-'Imputed Data'!X20)/'Imputed Data'!X20</f>
        <v>3.4722222222221483E-3</v>
      </c>
      <c r="Y21" s="7">
        <f>('Imputed Data'!Y21-'Imputed Data'!Y20)/'Imputed Data'!Y20</f>
        <v>5.3238686779058944E-3</v>
      </c>
      <c r="Z21" s="7">
        <f>('Imputed Data'!Z21-'Imputed Data'!Z20)/'Imputed Data'!Z20</f>
        <v>-2.6525198938991794E-3</v>
      </c>
      <c r="AA21" s="7">
        <f>('Imputed Data'!AA21-'Imputed Data'!AA20)/'Imputed Data'!AA20</f>
        <v>4.4603033006244425E-3</v>
      </c>
      <c r="AB21" s="7">
        <f>('Imputed Data'!AB21-'Imputed Data'!AB20)/'Imputed Data'!AB20</f>
        <v>1.0273972602739751E-2</v>
      </c>
      <c r="AC21" s="7">
        <f>('Imputed Data'!AC21-'Imputed Data'!AC20)/'Imputed Data'!AC20</f>
        <v>6.4102564102564361E-3</v>
      </c>
      <c r="AD21" s="7">
        <f>('Imputed Data'!AD21-'Imputed Data'!AD20)/'Imputed Data'!AD20</f>
        <v>3.5304501323919304E-3</v>
      </c>
      <c r="AE21" s="7">
        <f>('Imputed Data'!AE21-'Imputed Data'!AE20)/'Imputed Data'!AE20</f>
        <v>9.2281879194630392E-3</v>
      </c>
    </row>
    <row r="22" spans="1:31" x14ac:dyDescent="0.25">
      <c r="A22" s="1">
        <f>'Imputed Data'!A22</f>
        <v>41883</v>
      </c>
      <c r="B22" s="1" t="str">
        <f>'Imputed Data'!B22</f>
        <v>Rural+Urban</v>
      </c>
      <c r="C22" s="2">
        <f>'Imputed Data'!C22</f>
        <v>2014</v>
      </c>
      <c r="D22" s="1" t="str">
        <f>'Imputed Data'!D22</f>
        <v>September</v>
      </c>
      <c r="E22" s="7">
        <f>('Imputed Data'!E22-'Imputed Data'!E21)/'Imputed Data'!E21</f>
        <v>1.6299918500407729E-3</v>
      </c>
      <c r="F22" s="7">
        <f>('Imputed Data'!F22-'Imputed Data'!F21)/'Imputed Data'!F21</f>
        <v>-7.2347266881029396E-3</v>
      </c>
      <c r="G22" s="7">
        <f>('Imputed Data'!G22-'Imputed Data'!G21)/'Imputed Data'!G21</f>
        <v>0</v>
      </c>
      <c r="H22" s="7">
        <f>('Imputed Data'!H22-'Imputed Data'!H21)/'Imputed Data'!H21</f>
        <v>5.7377049180328101E-3</v>
      </c>
      <c r="I22" s="7">
        <f>('Imputed Data'!I22-'Imputed Data'!I21)/'Imputed Data'!I21</f>
        <v>-9.2592592592587327E-4</v>
      </c>
      <c r="J22" s="7">
        <f>('Imputed Data'!J22-'Imputed Data'!J21)/'Imputed Data'!J21</f>
        <v>-2.8985507246376791E-2</v>
      </c>
      <c r="K22" s="7">
        <f>('Imputed Data'!K22-'Imputed Data'!K21)/'Imputed Data'!K21</f>
        <v>-3.6266349583828746E-2</v>
      </c>
      <c r="L22" s="7">
        <f>('Imputed Data'!L22-'Imputed Data'!L21)/'Imputed Data'!L21</f>
        <v>9.606986899563269E-3</v>
      </c>
      <c r="M22" s="7">
        <f>('Imputed Data'!M22-'Imputed Data'!M21)/'Imputed Data'!M21</f>
        <v>-4.7938638542665392E-3</v>
      </c>
      <c r="N22" s="7">
        <f>('Imputed Data'!N22-'Imputed Data'!N21)/'Imputed Data'!N21</f>
        <v>4.269854824935952E-3</v>
      </c>
      <c r="O22" s="7">
        <f>('Imputed Data'!O22-'Imputed Data'!O21)/'Imputed Data'!O21</f>
        <v>5.2083333333332836E-3</v>
      </c>
      <c r="P22" s="7">
        <f>('Imputed Data'!P22-'Imputed Data'!P21)/'Imputed Data'!P21</f>
        <v>5.6864337936637114E-3</v>
      </c>
      <c r="Q22" s="7">
        <f>('Imputed Data'!Q22-'Imputed Data'!Q21)/'Imputed Data'!Q21</f>
        <v>-6.3191153238546386E-3</v>
      </c>
      <c r="R22" s="7">
        <f>('Imputed Data'!R22-'Imputed Data'!R21)/'Imputed Data'!R21</f>
        <v>7.5062552126771596E-3</v>
      </c>
      <c r="S22" s="7">
        <f>('Imputed Data'!S22-'Imputed Data'!S21)/'Imputed Data'!S21</f>
        <v>5.833333333333357E-3</v>
      </c>
      <c r="T22" s="7">
        <f>('Imputed Data'!T22-'Imputed Data'!T21)/'Imputed Data'!T21</f>
        <v>3.4246575342466242E-3</v>
      </c>
      <c r="U22" s="7">
        <f>('Imputed Data'!U22-'Imputed Data'!U21)/'Imputed Data'!U21</f>
        <v>4.180602006688963E-3</v>
      </c>
      <c r="V22" s="7">
        <f>('Imputed Data'!V22-'Imputed Data'!V21)/'Imputed Data'!V21</f>
        <v>5.1948051948051454E-3</v>
      </c>
      <c r="W22" s="7">
        <f>('Imputed Data'!W22-'Imputed Data'!W21)/'Imputed Data'!W21</f>
        <v>2.6315789473683963E-3</v>
      </c>
      <c r="X22" s="7">
        <f>('Imputed Data'!X22-'Imputed Data'!X21)/'Imputed Data'!X21</f>
        <v>4.3252595155709346E-3</v>
      </c>
      <c r="Y22" s="7">
        <f>('Imputed Data'!Y22-'Imputed Data'!Y21)/'Imputed Data'!Y21</f>
        <v>3.5304501323919304E-3</v>
      </c>
      <c r="Z22" s="7">
        <f>('Imputed Data'!Z22-'Imputed Data'!Z21)/'Imputed Data'!Z21</f>
        <v>-7.0921985815602584E-3</v>
      </c>
      <c r="AA22" s="7">
        <f>('Imputed Data'!AA22-'Imputed Data'!AA21)/'Imputed Data'!AA21</f>
        <v>4.4404973357015992E-3</v>
      </c>
      <c r="AB22" s="7">
        <f>('Imputed Data'!AB22-'Imputed Data'!AB21)/'Imputed Data'!AB21</f>
        <v>5.0847457627118163E-3</v>
      </c>
      <c r="AC22" s="7">
        <f>('Imputed Data'!AC22-'Imputed Data'!AC21)/'Imputed Data'!AC21</f>
        <v>-3.6396724294813984E-3</v>
      </c>
      <c r="AD22" s="7">
        <f>('Imputed Data'!AD22-'Imputed Data'!AD21)/'Imputed Data'!AD21</f>
        <v>0</v>
      </c>
      <c r="AE22" s="7">
        <f>('Imputed Data'!AE22-'Imputed Data'!AE21)/'Imputed Data'!AE21</f>
        <v>-1.6625103906899655E-3</v>
      </c>
    </row>
    <row r="23" spans="1:31" x14ac:dyDescent="0.25">
      <c r="A23" s="1">
        <f>'Imputed Data'!A23</f>
        <v>41913</v>
      </c>
      <c r="B23" s="1" t="str">
        <f>'Imputed Data'!B23</f>
        <v>Rural+Urban</v>
      </c>
      <c r="C23" s="2">
        <f>'Imputed Data'!C23</f>
        <v>2014</v>
      </c>
      <c r="D23" s="1" t="str">
        <f>'Imputed Data'!D23</f>
        <v>October</v>
      </c>
      <c r="E23" s="7">
        <f>('Imputed Data'!E23-'Imputed Data'!E22)/'Imputed Data'!E22</f>
        <v>2.441008950366128E-3</v>
      </c>
      <c r="F23" s="7">
        <f>('Imputed Data'!F23-'Imputed Data'!F22)/'Imputed Data'!F22</f>
        <v>2.4291497975708273E-3</v>
      </c>
      <c r="G23" s="7">
        <f>('Imputed Data'!G23-'Imputed Data'!G22)/'Imputed Data'!G22</f>
        <v>6.8201193520886372E-3</v>
      </c>
      <c r="H23" s="7">
        <f>('Imputed Data'!H23-'Imputed Data'!H22)/'Imputed Data'!H22</f>
        <v>4.0749796251018742E-3</v>
      </c>
      <c r="I23" s="7">
        <f>('Imputed Data'!I23-'Imputed Data'!I22)/'Imputed Data'!I22</f>
        <v>0</v>
      </c>
      <c r="J23" s="7">
        <f>('Imputed Data'!J23-'Imputed Data'!J22)/'Imputed Data'!J22</f>
        <v>-7.069913589944945E-3</v>
      </c>
      <c r="K23" s="7">
        <f>('Imputed Data'!K23-'Imputed Data'!K22)/'Imputed Data'!K22</f>
        <v>-3.2695866748920319E-2</v>
      </c>
      <c r="L23" s="7">
        <f>('Imputed Data'!L23-'Imputed Data'!L22)/'Imputed Data'!L22</f>
        <v>4.3252595155709346E-3</v>
      </c>
      <c r="M23" s="7">
        <f>('Imputed Data'!M23-'Imputed Data'!M22)/'Imputed Data'!M22</f>
        <v>-6.7437379576108175E-3</v>
      </c>
      <c r="N23" s="7">
        <f>('Imputed Data'!N23-'Imputed Data'!N22)/'Imputed Data'!N22</f>
        <v>4.2517006802721092E-3</v>
      </c>
      <c r="O23" s="7">
        <f>('Imputed Data'!O23-'Imputed Data'!O22)/'Imputed Data'!O22</f>
        <v>2.5906735751295091E-3</v>
      </c>
      <c r="P23" s="7">
        <f>('Imputed Data'!P23-'Imputed Data'!P22)/'Imputed Data'!P22</f>
        <v>5.6542810985460651E-3</v>
      </c>
      <c r="Q23" s="7">
        <f>('Imputed Data'!Q23-'Imputed Data'!Q22)/'Imputed Data'!Q22</f>
        <v>-3.1796502384737E-3</v>
      </c>
      <c r="R23" s="7">
        <f>('Imputed Data'!R23-'Imputed Data'!R22)/'Imputed Data'!R22</f>
        <v>2.4834437086092482E-3</v>
      </c>
      <c r="S23" s="7">
        <f>('Imputed Data'!S23-'Imputed Data'!S22)/'Imputed Data'!S22</f>
        <v>6.6280033140016332E-3</v>
      </c>
      <c r="T23" s="7">
        <f>('Imputed Data'!T23-'Imputed Data'!T22)/'Imputed Data'!T22</f>
        <v>7.6791808873719405E-3</v>
      </c>
      <c r="U23" s="7">
        <f>('Imputed Data'!U23-'Imputed Data'!U22)/'Imputed Data'!U22</f>
        <v>7.4937552039967175E-3</v>
      </c>
      <c r="V23" s="7">
        <f>('Imputed Data'!V23-'Imputed Data'!V22)/'Imputed Data'!V22</f>
        <v>5.1679586563308233E-3</v>
      </c>
      <c r="W23" s="7">
        <f>('Imputed Data'!W23-'Imputed Data'!W22)/'Imputed Data'!W22</f>
        <v>3.4995625546807149E-3</v>
      </c>
      <c r="X23" s="7">
        <f>('Imputed Data'!X23-'Imputed Data'!X22)/'Imputed Data'!X22</f>
        <v>5.1679586563308233E-3</v>
      </c>
      <c r="Y23" s="7">
        <f>('Imputed Data'!Y23-'Imputed Data'!Y22)/'Imputed Data'!Y22</f>
        <v>5.277044854881216E-3</v>
      </c>
      <c r="Z23" s="7">
        <f>('Imputed Data'!Z23-'Imputed Data'!Z22)/'Imputed Data'!Z22</f>
        <v>-1.785714285714311E-3</v>
      </c>
      <c r="AA23" s="7">
        <f>('Imputed Data'!AA23-'Imputed Data'!AA22)/'Imputed Data'!AA22</f>
        <v>1.7683465959328281E-3</v>
      </c>
      <c r="AB23" s="7">
        <f>('Imputed Data'!AB23-'Imputed Data'!AB22)/'Imputed Data'!AB22</f>
        <v>1.6863406408094675E-3</v>
      </c>
      <c r="AC23" s="7">
        <f>('Imputed Data'!AC23-'Imputed Data'!AC22)/'Imputed Data'!AC22</f>
        <v>9.1324200913236813E-4</v>
      </c>
      <c r="AD23" s="7">
        <f>('Imputed Data'!AD23-'Imputed Data'!AD22)/'Imputed Data'!AD22</f>
        <v>1.7590149516271138E-3</v>
      </c>
      <c r="AE23" s="7">
        <f>('Imputed Data'!AE23-'Imputed Data'!AE22)/'Imputed Data'!AE22</f>
        <v>0</v>
      </c>
    </row>
    <row r="24" spans="1:31" x14ac:dyDescent="0.25">
      <c r="A24" s="1">
        <f>'Imputed Data'!A24</f>
        <v>41944</v>
      </c>
      <c r="B24" s="1" t="str">
        <f>'Imputed Data'!B24</f>
        <v>Rural+Urban</v>
      </c>
      <c r="C24" s="2">
        <f>'Imputed Data'!C24</f>
        <v>2014</v>
      </c>
      <c r="D24" s="1" t="str">
        <f>'Imputed Data'!D24</f>
        <v>November</v>
      </c>
      <c r="E24" s="7">
        <f>('Imputed Data'!E24-'Imputed Data'!E23)/'Imputed Data'!E23</f>
        <v>8.1168831168826555E-4</v>
      </c>
      <c r="F24" s="7">
        <f>('Imputed Data'!F24-'Imputed Data'!F23)/'Imputed Data'!F23</f>
        <v>-8.0775444264938865E-4</v>
      </c>
      <c r="G24" s="7">
        <f>('Imputed Data'!G24-'Imputed Data'!G23)/'Imputed Data'!G23</f>
        <v>2.4555461473327739E-2</v>
      </c>
      <c r="H24" s="7">
        <f>('Imputed Data'!H24-'Imputed Data'!H23)/'Imputed Data'!H23</f>
        <v>8.1168831168831161E-3</v>
      </c>
      <c r="I24" s="7">
        <f>('Imputed Data'!I24-'Imputed Data'!I23)/'Imputed Data'!I23</f>
        <v>-9.2678405931425874E-4</v>
      </c>
      <c r="J24" s="7">
        <f>('Imputed Data'!J24-'Imputed Data'!J23)/'Imputed Data'!J23</f>
        <v>-5.5379746835443264E-3</v>
      </c>
      <c r="K24" s="7">
        <f>('Imputed Data'!K24-'Imputed Data'!K23)/'Imputed Data'!K23</f>
        <v>-2.8061224489795953E-2</v>
      </c>
      <c r="L24" s="7">
        <f>('Imputed Data'!L24-'Imputed Data'!L23)/'Imputed Data'!L23</f>
        <v>9.4745908699397814E-3</v>
      </c>
      <c r="M24" s="7">
        <f>('Imputed Data'!M24-'Imputed Data'!M23)/'Imputed Data'!M23</f>
        <v>-9.6993210475266739E-3</v>
      </c>
      <c r="N24" s="7">
        <f>('Imputed Data'!N24-'Imputed Data'!N23)/'Imputed Data'!N23</f>
        <v>5.0804403048264907E-3</v>
      </c>
      <c r="O24" s="7">
        <f>('Imputed Data'!O24-'Imputed Data'!O23)/'Imputed Data'!O23</f>
        <v>2.5839793281654728E-3</v>
      </c>
      <c r="P24" s="7">
        <f>('Imputed Data'!P24-'Imputed Data'!P23)/'Imputed Data'!P23</f>
        <v>8.8353413654618015E-3</v>
      </c>
      <c r="Q24" s="7">
        <f>('Imputed Data'!Q24-'Imputed Data'!Q23)/'Imputed Data'!Q23</f>
        <v>-2.392344497607746E-3</v>
      </c>
      <c r="R24" s="7">
        <f>('Imputed Data'!R24-'Imputed Data'!R23)/'Imputed Data'!R23</f>
        <v>8.2576383154417832E-3</v>
      </c>
      <c r="S24" s="7">
        <f>('Imputed Data'!S24-'Imputed Data'!S23)/'Imputed Data'!S23</f>
        <v>4.9382716049382247E-3</v>
      </c>
      <c r="T24" s="7">
        <f>('Imputed Data'!T24-'Imputed Data'!T23)/'Imputed Data'!T23</f>
        <v>2.5402201524133057E-3</v>
      </c>
      <c r="U24" s="7">
        <f>('Imputed Data'!U24-'Imputed Data'!U23)/'Imputed Data'!U23</f>
        <v>4.9586776859503658E-3</v>
      </c>
      <c r="V24" s="7">
        <f>('Imputed Data'!V24-'Imputed Data'!V23)/'Imputed Data'!V23</f>
        <v>3.4275921165380589E-3</v>
      </c>
      <c r="W24" s="7">
        <f>('Imputed Data'!W24-'Imputed Data'!W23)/'Imputed Data'!W23</f>
        <v>6.9747166521359821E-3</v>
      </c>
      <c r="X24" s="7">
        <f>('Imputed Data'!X24-'Imputed Data'!X23)/'Imputed Data'!X23</f>
        <v>5.141388174807149E-3</v>
      </c>
      <c r="Y24" s="7">
        <f>('Imputed Data'!Y24-'Imputed Data'!Y23)/'Imputed Data'!Y23</f>
        <v>4.3744531933508314E-3</v>
      </c>
      <c r="Z24" s="7">
        <f>('Imputed Data'!Z24-'Imputed Data'!Z23)/'Imputed Data'!Z23</f>
        <v>-8.9445438282647581E-3</v>
      </c>
      <c r="AA24" s="7">
        <f>('Imputed Data'!AA24-'Imputed Data'!AA23)/'Imputed Data'!AA23</f>
        <v>3.5304501323919304E-3</v>
      </c>
      <c r="AB24" s="7">
        <f>('Imputed Data'!AB24-'Imputed Data'!AB23)/'Imputed Data'!AB23</f>
        <v>1.6835016835017075E-3</v>
      </c>
      <c r="AC24" s="7">
        <f>('Imputed Data'!AC24-'Imputed Data'!AC23)/'Imputed Data'!AC23</f>
        <v>-4.5620437956204385E-3</v>
      </c>
      <c r="AD24" s="7">
        <f>('Imputed Data'!AD24-'Imputed Data'!AD23)/'Imputed Data'!AD23</f>
        <v>-8.7796312554880177E-4</v>
      </c>
      <c r="AE24" s="7">
        <f>('Imputed Data'!AE24-'Imputed Data'!AE23)/'Imputed Data'!AE23</f>
        <v>0</v>
      </c>
    </row>
    <row r="25" spans="1:31" x14ac:dyDescent="0.25">
      <c r="A25" s="1">
        <f>'Imputed Data'!A25</f>
        <v>41974</v>
      </c>
      <c r="B25" s="1" t="str">
        <f>'Imputed Data'!B25</f>
        <v>Rural+Urban</v>
      </c>
      <c r="C25" s="2">
        <f>'Imputed Data'!C25</f>
        <v>2014</v>
      </c>
      <c r="D25" s="1" t="str">
        <f>'Imputed Data'!D25</f>
        <v>December</v>
      </c>
      <c r="E25" s="7">
        <f>('Imputed Data'!E25-'Imputed Data'!E24)/'Imputed Data'!E24</f>
        <v>-3.2441200324411315E-3</v>
      </c>
      <c r="F25" s="7">
        <f>('Imputed Data'!F25-'Imputed Data'!F24)/'Imputed Data'!F24</f>
        <v>-4.0420371867421184E-3</v>
      </c>
      <c r="G25" s="7">
        <f>('Imputed Data'!G25-'Imputed Data'!G24)/'Imputed Data'!G24</f>
        <v>2.0661157024793389E-2</v>
      </c>
      <c r="H25" s="7">
        <f>('Imputed Data'!H25-'Imputed Data'!H24)/'Imputed Data'!H24</f>
        <v>2.4154589371980445E-3</v>
      </c>
      <c r="I25" s="7">
        <f>('Imputed Data'!I25-'Imputed Data'!I24)/'Imputed Data'!I24</f>
        <v>-1.8552875695733103E-3</v>
      </c>
      <c r="J25" s="7">
        <f>('Imputed Data'!J25-'Imputed Data'!J24)/'Imputed Data'!J24</f>
        <v>0</v>
      </c>
      <c r="K25" s="7">
        <f>('Imputed Data'!K25-'Imputed Data'!K24)/'Imputed Data'!K24</f>
        <v>-7.8083989501312373E-2</v>
      </c>
      <c r="L25" s="7">
        <f>('Imputed Data'!L25-'Imputed Data'!L24)/'Imputed Data'!L24</f>
        <v>3.4129692832763777E-3</v>
      </c>
      <c r="M25" s="7">
        <f>('Imputed Data'!M25-'Imputed Data'!M24)/'Imputed Data'!M24</f>
        <v>-1.4691478942213516E-2</v>
      </c>
      <c r="N25" s="7">
        <f>('Imputed Data'!N25-'Imputed Data'!N24)/'Imputed Data'!N24</f>
        <v>3.3698399326031296E-3</v>
      </c>
      <c r="O25" s="7">
        <f>('Imputed Data'!O25-'Imputed Data'!O24)/'Imputed Data'!O24</f>
        <v>3.4364261168384146E-3</v>
      </c>
      <c r="P25" s="7">
        <f>('Imputed Data'!P25-'Imputed Data'!P24)/'Imputed Data'!P24</f>
        <v>3.9808917197452229E-3</v>
      </c>
      <c r="Q25" s="7">
        <f>('Imputed Data'!Q25-'Imputed Data'!Q24)/'Imputed Data'!Q24</f>
        <v>-1.1990407673860911E-2</v>
      </c>
      <c r="R25" s="7">
        <f>('Imputed Data'!R25-'Imputed Data'!R24)/'Imputed Data'!R24</f>
        <v>7.3710073710074181E-3</v>
      </c>
      <c r="S25" s="7">
        <f>('Imputed Data'!S25-'Imputed Data'!S24)/'Imputed Data'!S24</f>
        <v>4.095004095004095E-3</v>
      </c>
      <c r="T25" s="7">
        <f>('Imputed Data'!T25-'Imputed Data'!T24)/'Imputed Data'!T24</f>
        <v>1.689189189189093E-3</v>
      </c>
      <c r="U25" s="7">
        <f>('Imputed Data'!U25-'Imputed Data'!U24)/'Imputed Data'!U24</f>
        <v>3.2894736842105734E-3</v>
      </c>
      <c r="V25" s="7">
        <f>('Imputed Data'!V25-'Imputed Data'!V24)/'Imputed Data'!V24</f>
        <v>-5.1238257899230942E-3</v>
      </c>
      <c r="W25" s="7">
        <f>('Imputed Data'!W25-'Imputed Data'!W24)/'Imputed Data'!W24</f>
        <v>1.7316017316017561E-3</v>
      </c>
      <c r="X25" s="7">
        <f>('Imputed Data'!X25-'Imputed Data'!X24)/'Imputed Data'!X24</f>
        <v>1.7050298380221897E-3</v>
      </c>
      <c r="Y25" s="7">
        <f>('Imputed Data'!Y25-'Imputed Data'!Y24)/'Imputed Data'!Y24</f>
        <v>2.6132404181184424E-3</v>
      </c>
      <c r="Z25" s="7">
        <f>('Imputed Data'!Z25-'Imputed Data'!Z24)/'Imputed Data'!Z24</f>
        <v>-6.3176895306859462E-3</v>
      </c>
      <c r="AA25" s="7">
        <f>('Imputed Data'!AA25-'Imputed Data'!AA24)/'Imputed Data'!AA24</f>
        <v>1.7590149516271138E-3</v>
      </c>
      <c r="AB25" s="7">
        <f>('Imputed Data'!AB25-'Imputed Data'!AB24)/'Imputed Data'!AB24</f>
        <v>4.2016806722689074E-3</v>
      </c>
      <c r="AC25" s="7">
        <f>('Imputed Data'!AC25-'Imputed Data'!AC24)/'Imputed Data'!AC24</f>
        <v>6.416131989000943E-3</v>
      </c>
      <c r="AD25" s="7">
        <f>('Imputed Data'!AD25-'Imputed Data'!AD24)/'Imputed Data'!AD24</f>
        <v>0</v>
      </c>
      <c r="AE25" s="7">
        <f>('Imputed Data'!AE25-'Imputed Data'!AE24)/'Imputed Data'!AE24</f>
        <v>-5.8284762697750929E-3</v>
      </c>
    </row>
    <row r="26" spans="1:31" x14ac:dyDescent="0.25">
      <c r="A26" s="1">
        <f>'Imputed Data'!A26</f>
        <v>42005</v>
      </c>
      <c r="B26" s="1" t="str">
        <f>'Imputed Data'!B26</f>
        <v>Rural+Urban</v>
      </c>
      <c r="C26" s="2">
        <f>'Imputed Data'!C26</f>
        <v>2015</v>
      </c>
      <c r="D26" s="1" t="str">
        <f>'Imputed Data'!D26</f>
        <v>January</v>
      </c>
      <c r="E26" s="7">
        <f>('Imputed Data'!E26-'Imputed Data'!E25)/'Imputed Data'!E25</f>
        <v>4.0683482506102524E-3</v>
      </c>
      <c r="F26" s="7">
        <f>('Imputed Data'!F26-'Imputed Data'!F25)/'Imputed Data'!F25</f>
        <v>5.6818181818182045E-3</v>
      </c>
      <c r="G26" s="7">
        <f>('Imputed Data'!G26-'Imputed Data'!G25)/'Imputed Data'!G25</f>
        <v>2.4291497975708273E-3</v>
      </c>
      <c r="H26" s="7">
        <f>('Imputed Data'!H26-'Imputed Data'!H25)/'Imputed Data'!H25</f>
        <v>4.0160642570281121E-3</v>
      </c>
      <c r="I26" s="7">
        <f>('Imputed Data'!I26-'Imputed Data'!I25)/'Imputed Data'!I25</f>
        <v>8.3643122676580455E-3</v>
      </c>
      <c r="J26" s="7">
        <f>('Imputed Data'!J26-'Imputed Data'!J25)/'Imputed Data'!J25</f>
        <v>3.977724741447892E-3</v>
      </c>
      <c r="K26" s="7">
        <f>('Imputed Data'!K26-'Imputed Data'!K25)/'Imputed Data'!K25</f>
        <v>-5.3380782918149468E-2</v>
      </c>
      <c r="L26" s="7">
        <f>('Imputed Data'!L26-'Imputed Data'!L25)/'Imputed Data'!L25</f>
        <v>1.2755102040816327E-2</v>
      </c>
      <c r="M26" s="7">
        <f>('Imputed Data'!M26-'Imputed Data'!M25)/'Imputed Data'!M25</f>
        <v>-1.5904572564612269E-2</v>
      </c>
      <c r="N26" s="7">
        <f>('Imputed Data'!N26-'Imputed Data'!N25)/'Imputed Data'!N25</f>
        <v>1.0075566750629747E-2</v>
      </c>
      <c r="O26" s="7">
        <f>('Imputed Data'!O26-'Imputed Data'!O25)/'Imputed Data'!O25</f>
        <v>4.2808219178082189E-3</v>
      </c>
      <c r="P26" s="7">
        <f>('Imputed Data'!P26-'Imputed Data'!P25)/'Imputed Data'!P25</f>
        <v>4.7581284694687438E-3</v>
      </c>
      <c r="Q26" s="7">
        <f>('Imputed Data'!Q26-'Imputed Data'!Q25)/'Imputed Data'!Q25</f>
        <v>-4.0453074433656963E-3</v>
      </c>
      <c r="R26" s="7">
        <f>('Imputed Data'!R26-'Imputed Data'!R25)/'Imputed Data'!R25</f>
        <v>8.130081300813009E-3</v>
      </c>
      <c r="S26" s="7">
        <f>('Imputed Data'!S26-'Imputed Data'!S25)/'Imputed Data'!S25</f>
        <v>4.0783034257748782E-3</v>
      </c>
      <c r="T26" s="7">
        <f>('Imputed Data'!T26-'Imputed Data'!T25)/'Imputed Data'!T25</f>
        <v>5.9021922428330762E-3</v>
      </c>
      <c r="U26" s="7">
        <f>('Imputed Data'!U26-'Imputed Data'!U25)/'Imputed Data'!U25</f>
        <v>4.0983606557377051E-3</v>
      </c>
      <c r="V26" s="7">
        <f>('Imputed Data'!V26-'Imputed Data'!V25)/'Imputed Data'!V25</f>
        <v>6.8669527896995462E-3</v>
      </c>
      <c r="W26" s="7">
        <f>('Imputed Data'!W26-'Imputed Data'!W25)/'Imputed Data'!W25</f>
        <v>6.9144338807259906E-3</v>
      </c>
      <c r="X26" s="7">
        <f>('Imputed Data'!X26-'Imputed Data'!X25)/'Imputed Data'!X25</f>
        <v>5.1063829787233563E-3</v>
      </c>
      <c r="Y26" s="7">
        <f>('Imputed Data'!Y26-'Imputed Data'!Y25)/'Imputed Data'!Y25</f>
        <v>3.4752389226759836E-3</v>
      </c>
      <c r="Z26" s="7">
        <f>('Imputed Data'!Z26-'Imputed Data'!Z25)/'Imputed Data'!Z25</f>
        <v>-6.3578564940961731E-3</v>
      </c>
      <c r="AA26" s="7">
        <f>('Imputed Data'!AA26-'Imputed Data'!AA25)/'Imputed Data'!AA25</f>
        <v>3.5118525021948328E-3</v>
      </c>
      <c r="AB26" s="7">
        <f>('Imputed Data'!AB26-'Imputed Data'!AB25)/'Imputed Data'!AB25</f>
        <v>1.6736401673640405E-3</v>
      </c>
      <c r="AC26" s="7">
        <f>('Imputed Data'!AC26-'Imputed Data'!AC25)/'Imputed Data'!AC25</f>
        <v>8.1967213114754623E-3</v>
      </c>
      <c r="AD26" s="7">
        <f>('Imputed Data'!AD26-'Imputed Data'!AD25)/'Imputed Data'!AD25</f>
        <v>1.75746924428825E-3</v>
      </c>
      <c r="AE26" s="7">
        <f>('Imputed Data'!AE26-'Imputed Data'!AE25)/'Imputed Data'!AE25</f>
        <v>8.3752093802340289E-4</v>
      </c>
    </row>
    <row r="27" spans="1:31" x14ac:dyDescent="0.25">
      <c r="A27" s="1">
        <f>'Imputed Data'!A27</f>
        <v>42036</v>
      </c>
      <c r="B27" s="1" t="str">
        <f>'Imputed Data'!B27</f>
        <v>Rural+Urban</v>
      </c>
      <c r="C27" s="2">
        <f>'Imputed Data'!C27</f>
        <v>2015</v>
      </c>
      <c r="D27" s="1" t="str">
        <f>'Imputed Data'!D27</f>
        <v>February</v>
      </c>
      <c r="E27" s="7">
        <f>('Imputed Data'!E27-'Imputed Data'!E26)/'Imputed Data'!E26</f>
        <v>2.4311183144246121E-3</v>
      </c>
      <c r="F27" s="7">
        <f>('Imputed Data'!F27-'Imputed Data'!F26)/'Imputed Data'!F26</f>
        <v>9.6852300242129836E-3</v>
      </c>
      <c r="G27" s="7">
        <f>('Imputed Data'!G27-'Imputed Data'!G26)/'Imputed Data'!G26</f>
        <v>-2.1809369951534756E-2</v>
      </c>
      <c r="H27" s="7">
        <f>('Imputed Data'!H27-'Imputed Data'!H26)/'Imputed Data'!H26</f>
        <v>5.6000000000000225E-3</v>
      </c>
      <c r="I27" s="7">
        <f>('Imputed Data'!I27-'Imputed Data'!I26)/'Imputed Data'!I26</f>
        <v>5.5299539170506392E-3</v>
      </c>
      <c r="J27" s="7">
        <f>('Imputed Data'!J27-'Imputed Data'!J26)/'Imputed Data'!J26</f>
        <v>-3.1695721077654965E-3</v>
      </c>
      <c r="K27" s="7">
        <f>('Imputed Data'!K27-'Imputed Data'!K26)/'Imputed Data'!K26</f>
        <v>-2.7067669172932289E-2</v>
      </c>
      <c r="L27" s="7">
        <f>('Imputed Data'!L27-'Imputed Data'!L26)/'Imputed Data'!L26</f>
        <v>1.5113350125944681E-2</v>
      </c>
      <c r="M27" s="7">
        <f>('Imputed Data'!M27-'Imputed Data'!M26)/'Imputed Data'!M26</f>
        <v>-7.0707070707070998E-3</v>
      </c>
      <c r="N27" s="7">
        <f>('Imputed Data'!N27-'Imputed Data'!N26)/'Imputed Data'!N26</f>
        <v>1.0806317539484599E-2</v>
      </c>
      <c r="O27" s="7">
        <f>('Imputed Data'!O27-'Imputed Data'!O26)/'Imputed Data'!O26</f>
        <v>5.9676044330776029E-3</v>
      </c>
      <c r="P27" s="7">
        <f>('Imputed Data'!P27-'Imputed Data'!P26)/'Imputed Data'!P26</f>
        <v>7.103393843725268E-3</v>
      </c>
      <c r="Q27" s="7">
        <f>('Imputed Data'!Q27-'Imputed Data'!Q26)/'Imputed Data'!Q26</f>
        <v>0</v>
      </c>
      <c r="R27" s="7">
        <f>('Imputed Data'!R27-'Imputed Data'!R26)/'Imputed Data'!R26</f>
        <v>9.6774193548387327E-3</v>
      </c>
      <c r="S27" s="7">
        <f>('Imputed Data'!S27-'Imputed Data'!S26)/'Imputed Data'!S26</f>
        <v>5.6864337936637114E-3</v>
      </c>
      <c r="T27" s="7">
        <f>('Imputed Data'!T27-'Imputed Data'!T26)/'Imputed Data'!T26</f>
        <v>6.7057837384744108E-3</v>
      </c>
      <c r="U27" s="7">
        <f>('Imputed Data'!U27-'Imputed Data'!U26)/'Imputed Data'!U26</f>
        <v>6.530612244897936E-3</v>
      </c>
      <c r="V27" s="7">
        <f>('Imputed Data'!V27-'Imputed Data'!V26)/'Imputed Data'!V26</f>
        <v>6.8201193520886372E-3</v>
      </c>
      <c r="W27" s="7">
        <f>('Imputed Data'!W27-'Imputed Data'!W26)/'Imputed Data'!W26</f>
        <v>1.0300429184549381E-2</v>
      </c>
      <c r="X27" s="7">
        <f>('Imputed Data'!X27-'Imputed Data'!X26)/'Imputed Data'!X26</f>
        <v>5.0804403048264907E-3</v>
      </c>
      <c r="Y27" s="7">
        <f>('Imputed Data'!Y27-'Imputed Data'!Y26)/'Imputed Data'!Y26</f>
        <v>6.9264069264069021E-3</v>
      </c>
      <c r="Z27" s="7">
        <f>('Imputed Data'!Z27-'Imputed Data'!Z26)/'Imputed Data'!Z26</f>
        <v>-6.3985374771481059E-3</v>
      </c>
      <c r="AA27" s="7">
        <f>('Imputed Data'!AA27-'Imputed Data'!AA26)/'Imputed Data'!AA26</f>
        <v>5.2493438320210719E-3</v>
      </c>
      <c r="AB27" s="7">
        <f>('Imputed Data'!AB27-'Imputed Data'!AB26)/'Imputed Data'!AB26</f>
        <v>0</v>
      </c>
      <c r="AC27" s="7">
        <f>('Imputed Data'!AC27-'Imputed Data'!AC26)/'Imputed Data'!AC26</f>
        <v>4.5167118337850042E-3</v>
      </c>
      <c r="AD27" s="7">
        <f>('Imputed Data'!AD27-'Imputed Data'!AD26)/'Imputed Data'!AD26</f>
        <v>8.7719298245609049E-4</v>
      </c>
      <c r="AE27" s="7">
        <f>('Imputed Data'!AE27-'Imputed Data'!AE26)/'Imputed Data'!AE26</f>
        <v>1.6736401673640405E-3</v>
      </c>
    </row>
    <row r="28" spans="1:31" x14ac:dyDescent="0.25">
      <c r="A28" s="1">
        <f>'Imputed Data'!A28</f>
        <v>42064</v>
      </c>
      <c r="B28" s="1" t="str">
        <f>'Imputed Data'!B28</f>
        <v>Rural+Urban</v>
      </c>
      <c r="C28" s="2">
        <f>'Imputed Data'!C28</f>
        <v>2015</v>
      </c>
      <c r="D28" s="1" t="str">
        <f>'Imputed Data'!D28</f>
        <v>March</v>
      </c>
      <c r="E28" s="7">
        <f>('Imputed Data'!E28-'Imputed Data'!E27)/'Imputed Data'!E27</f>
        <v>-1.6168148746968701E-3</v>
      </c>
      <c r="F28" s="7">
        <f>('Imputed Data'!F28-'Imputed Data'!F27)/'Imputed Data'!F27</f>
        <v>2.3980815347722732E-3</v>
      </c>
      <c r="G28" s="7">
        <f>('Imputed Data'!G28-'Imputed Data'!G27)/'Imputed Data'!G27</f>
        <v>-3.5507844756399648E-2</v>
      </c>
      <c r="H28" s="7">
        <f>('Imputed Data'!H28-'Imputed Data'!H27)/'Imputed Data'!H27</f>
        <v>2.3866348448687122E-3</v>
      </c>
      <c r="I28" s="7">
        <f>('Imputed Data'!I28-'Imputed Data'!I27)/'Imputed Data'!I27</f>
        <v>9.1659028414306629E-4</v>
      </c>
      <c r="J28" s="7">
        <f>('Imputed Data'!J28-'Imputed Data'!J27)/'Imputed Data'!J27</f>
        <v>1.4308426073131934E-2</v>
      </c>
      <c r="K28" s="7">
        <f>('Imputed Data'!K28-'Imputed Data'!K27)/'Imputed Data'!K27</f>
        <v>-1.5455950540959587E-3</v>
      </c>
      <c r="L28" s="7">
        <f>('Imputed Data'!L28-'Imputed Data'!L27)/'Imputed Data'!L27</f>
        <v>1.2406947890818858E-2</v>
      </c>
      <c r="M28" s="7">
        <f>('Imputed Data'!M28-'Imputed Data'!M27)/'Imputed Data'!M27</f>
        <v>-1.3224821973550328E-2</v>
      </c>
      <c r="N28" s="7">
        <f>('Imputed Data'!N28-'Imputed Data'!N27)/'Imputed Data'!N27</f>
        <v>4.1118421052631577E-3</v>
      </c>
      <c r="O28" s="7">
        <f>('Imputed Data'!O28-'Imputed Data'!O27)/'Imputed Data'!O27</f>
        <v>8.474576271185959E-4</v>
      </c>
      <c r="P28" s="7">
        <f>('Imputed Data'!P28-'Imputed Data'!P27)/'Imputed Data'!P27</f>
        <v>6.2695924764891173E-3</v>
      </c>
      <c r="Q28" s="7">
        <f>('Imputed Data'!Q28-'Imputed Data'!Q27)/'Imputed Data'!Q27</f>
        <v>2.4370430544273874E-3</v>
      </c>
      <c r="R28" s="7">
        <f>('Imputed Data'!R28-'Imputed Data'!R27)/'Imputed Data'!R27</f>
        <v>4.7923322683705617E-3</v>
      </c>
      <c r="S28" s="7">
        <f>('Imputed Data'!S28-'Imputed Data'!S27)/'Imputed Data'!S27</f>
        <v>4.0387722132471729E-3</v>
      </c>
      <c r="T28" s="7">
        <f>('Imputed Data'!T28-'Imputed Data'!T27)/'Imputed Data'!T27</f>
        <v>2.4979184013323181E-3</v>
      </c>
      <c r="U28" s="7">
        <f>('Imputed Data'!U28-'Imputed Data'!U27)/'Imputed Data'!U27</f>
        <v>3.2441200324412464E-3</v>
      </c>
      <c r="V28" s="7">
        <f>('Imputed Data'!V28-'Imputed Data'!V27)/'Imputed Data'!V27</f>
        <v>4.2337002540220152E-3</v>
      </c>
      <c r="W28" s="7">
        <f>('Imputed Data'!W28-'Imputed Data'!W27)/'Imputed Data'!W27</f>
        <v>5.0977060322854231E-3</v>
      </c>
      <c r="X28" s="7">
        <f>('Imputed Data'!X28-'Imputed Data'!X27)/'Imputed Data'!X27</f>
        <v>4.2122999157540014E-3</v>
      </c>
      <c r="Y28" s="7">
        <f>('Imputed Data'!Y28-'Imputed Data'!Y27)/'Imputed Data'!Y27</f>
        <v>3.4393809114359906E-3</v>
      </c>
      <c r="Z28" s="7">
        <f>('Imputed Data'!Z28-'Imputed Data'!Z27)/'Imputed Data'!Z27</f>
        <v>1.1039558417663319E-2</v>
      </c>
      <c r="AA28" s="7">
        <f>('Imputed Data'!AA28-'Imputed Data'!AA27)/'Imputed Data'!AA27</f>
        <v>4.3516100957354219E-3</v>
      </c>
      <c r="AB28" s="7">
        <f>('Imputed Data'!AB28-'Imputed Data'!AB27)/'Imputed Data'!AB27</f>
        <v>3.3416875522137967E-3</v>
      </c>
      <c r="AC28" s="7">
        <f>('Imputed Data'!AC28-'Imputed Data'!AC27)/'Imputed Data'!AC27</f>
        <v>-1.7985611510791622E-3</v>
      </c>
      <c r="AD28" s="7">
        <f>('Imputed Data'!AD28-'Imputed Data'!AD27)/'Imputed Data'!AD27</f>
        <v>5.2585451358458241E-3</v>
      </c>
      <c r="AE28" s="7">
        <f>('Imputed Data'!AE28-'Imputed Data'!AE27)/'Imputed Data'!AE27</f>
        <v>4.1771094402673348E-3</v>
      </c>
    </row>
    <row r="29" spans="1:31" x14ac:dyDescent="0.25">
      <c r="A29" s="1">
        <f>'Imputed Data'!A29</f>
        <v>42095</v>
      </c>
      <c r="B29" s="1" t="str">
        <f>'Imputed Data'!B29</f>
        <v>Rural+Urban</v>
      </c>
      <c r="C29" s="2">
        <f>'Imputed Data'!C29</f>
        <v>2015</v>
      </c>
      <c r="D29" s="1" t="str">
        <f>'Imputed Data'!D29</f>
        <v>April</v>
      </c>
      <c r="E29" s="7">
        <f>('Imputed Data'!E29-'Imputed Data'!E28)/'Imputed Data'!E28</f>
        <v>0</v>
      </c>
      <c r="F29" s="7">
        <f>('Imputed Data'!F29-'Imputed Data'!F28)/'Imputed Data'!F28</f>
        <v>7.9744816586921844E-3</v>
      </c>
      <c r="G29" s="7">
        <f>('Imputed Data'!G29-'Imputed Data'!G28)/'Imputed Data'!G28</f>
        <v>-2.0547945205479378E-2</v>
      </c>
      <c r="H29" s="7">
        <f>('Imputed Data'!H29-'Imputed Data'!H28)/'Imputed Data'!H28</f>
        <v>4.7619047619047164E-3</v>
      </c>
      <c r="I29" s="7">
        <f>('Imputed Data'!I29-'Imputed Data'!I28)/'Imputed Data'!I28</f>
        <v>0</v>
      </c>
      <c r="J29" s="7">
        <f>('Imputed Data'!J29-'Imputed Data'!J28)/'Imputed Data'!J28</f>
        <v>3.8401253918495346E-2</v>
      </c>
      <c r="K29" s="7">
        <f>('Imputed Data'!K29-'Imputed Data'!K28)/'Imputed Data'!K28</f>
        <v>-4.6439628482971701E-3</v>
      </c>
      <c r="L29" s="7">
        <f>('Imputed Data'!L29-'Imputed Data'!L28)/'Imputed Data'!L28</f>
        <v>1.9607843137254832E-2</v>
      </c>
      <c r="M29" s="7">
        <f>('Imputed Data'!M29-'Imputed Data'!M28)/'Imputed Data'!M28</f>
        <v>-1.3402061855670075E-2</v>
      </c>
      <c r="N29" s="7">
        <f>('Imputed Data'!N29-'Imputed Data'!N28)/'Imputed Data'!N28</f>
        <v>2.4570024570025502E-3</v>
      </c>
      <c r="O29" s="7">
        <f>('Imputed Data'!O29-'Imputed Data'!O28)/'Imputed Data'!O28</f>
        <v>3.3869602032176606E-3</v>
      </c>
      <c r="P29" s="7">
        <f>('Imputed Data'!P29-'Imputed Data'!P28)/'Imputed Data'!P28</f>
        <v>5.4517133956385406E-3</v>
      </c>
      <c r="Q29" s="7">
        <f>('Imputed Data'!Q29-'Imputed Data'!Q28)/'Imputed Data'!Q28</f>
        <v>4.8622366288492242E-3</v>
      </c>
      <c r="R29" s="7">
        <f>('Imputed Data'!R29-'Imputed Data'!R28)/'Imputed Data'!R28</f>
        <v>8.7440381558029304E-3</v>
      </c>
      <c r="S29" s="7">
        <f>('Imputed Data'!S29-'Imputed Data'!S28)/'Imputed Data'!S28</f>
        <v>3.2180209171360072E-3</v>
      </c>
      <c r="T29" s="7">
        <f>('Imputed Data'!T29-'Imputed Data'!T28)/'Imputed Data'!T28</f>
        <v>3.3222591362125535E-3</v>
      </c>
      <c r="U29" s="7">
        <f>('Imputed Data'!U29-'Imputed Data'!U28)/'Imputed Data'!U28</f>
        <v>3.2336297493936253E-3</v>
      </c>
      <c r="V29" s="7">
        <f>('Imputed Data'!V29-'Imputed Data'!V28)/'Imputed Data'!V28</f>
        <v>5.0590219224284022E-3</v>
      </c>
      <c r="W29" s="7">
        <f>('Imputed Data'!W29-'Imputed Data'!W28)/'Imputed Data'!W28</f>
        <v>3.3812341504649676E-3</v>
      </c>
      <c r="X29" s="7">
        <f>('Imputed Data'!X29-'Imputed Data'!X28)/'Imputed Data'!X28</f>
        <v>4.1946308724832215E-3</v>
      </c>
      <c r="Y29" s="7">
        <f>('Imputed Data'!Y29-'Imputed Data'!Y28)/'Imputed Data'!Y28</f>
        <v>3.4275921165380589E-3</v>
      </c>
      <c r="Z29" s="7">
        <f>('Imputed Data'!Z29-'Imputed Data'!Z28)/'Imputed Data'!Z28</f>
        <v>1.8198362147405698E-3</v>
      </c>
      <c r="AA29" s="7">
        <f>('Imputed Data'!AA29-'Imputed Data'!AA28)/'Imputed Data'!AA28</f>
        <v>4.3327556325823222E-3</v>
      </c>
      <c r="AB29" s="7">
        <f>('Imputed Data'!AB29-'Imputed Data'!AB28)/'Imputed Data'!AB28</f>
        <v>7.4937552039967175E-3</v>
      </c>
      <c r="AC29" s="7">
        <f>('Imputed Data'!AC29-'Imputed Data'!AC28)/'Imputed Data'!AC28</f>
        <v>6.3063063063063321E-3</v>
      </c>
      <c r="AD29" s="7">
        <f>('Imputed Data'!AD29-'Imputed Data'!AD28)/'Imputed Data'!AD28</f>
        <v>3.487358326067929E-3</v>
      </c>
      <c r="AE29" s="7">
        <f>('Imputed Data'!AE29-'Imputed Data'!AE28)/'Imputed Data'!AE28</f>
        <v>4.1597337770382693E-3</v>
      </c>
    </row>
    <row r="30" spans="1:31" x14ac:dyDescent="0.25">
      <c r="A30" s="1">
        <f>'Imputed Data'!A30</f>
        <v>42125</v>
      </c>
      <c r="B30" s="1" t="str">
        <f>'Imputed Data'!B30</f>
        <v>Rural+Urban</v>
      </c>
      <c r="C30" s="2">
        <f>'Imputed Data'!C30</f>
        <v>2015</v>
      </c>
      <c r="D30" s="1" t="str">
        <f>'Imputed Data'!D30</f>
        <v>May</v>
      </c>
      <c r="E30" s="7">
        <f>('Imputed Data'!E30-'Imputed Data'!E29)/'Imputed Data'!E29</f>
        <v>8.097165991902374E-4</v>
      </c>
      <c r="F30" s="7">
        <f>('Imputed Data'!F30-'Imputed Data'!F29)/'Imputed Data'!F29</f>
        <v>1.2658227848101221E-2</v>
      </c>
      <c r="G30" s="7">
        <f>('Imputed Data'!G30-'Imputed Data'!G29)/'Imputed Data'!G29</f>
        <v>5.2447552447551947E-3</v>
      </c>
      <c r="H30" s="7">
        <f>('Imputed Data'!H30-'Imputed Data'!H29)/'Imputed Data'!H29</f>
        <v>5.5292259083728505E-3</v>
      </c>
      <c r="I30" s="7">
        <f>('Imputed Data'!I30-'Imputed Data'!I29)/'Imputed Data'!I29</f>
        <v>5.494505494505442E-3</v>
      </c>
      <c r="J30" s="7">
        <f>('Imputed Data'!J30-'Imputed Data'!J29)/'Imputed Data'!J29</f>
        <v>7.5471698113203261E-4</v>
      </c>
      <c r="K30" s="7">
        <f>('Imputed Data'!K30-'Imputed Data'!K29)/'Imputed Data'!K29</f>
        <v>1.7884914463452656E-2</v>
      </c>
      <c r="L30" s="7">
        <f>('Imputed Data'!L30-'Imputed Data'!L29)/'Imputed Data'!L29</f>
        <v>4.5673076923076948E-2</v>
      </c>
      <c r="M30" s="7">
        <f>('Imputed Data'!M30-'Imputed Data'!M29)/'Imputed Data'!M29</f>
        <v>-4.1797283176594115E-3</v>
      </c>
      <c r="N30" s="7">
        <f>('Imputed Data'!N30-'Imputed Data'!N29)/'Imputed Data'!N29</f>
        <v>8.1699346405228763E-3</v>
      </c>
      <c r="O30" s="7">
        <f>('Imputed Data'!O30-'Imputed Data'!O29)/'Imputed Data'!O29</f>
        <v>5.9071729957806147E-3</v>
      </c>
      <c r="P30" s="7">
        <f>('Imputed Data'!P30-'Imputed Data'!P29)/'Imputed Data'!P29</f>
        <v>5.4221533694811547E-3</v>
      </c>
      <c r="Q30" s="7">
        <f>('Imputed Data'!Q30-'Imputed Data'!Q29)/'Imputed Data'!Q29</f>
        <v>8.0645161290322578E-3</v>
      </c>
      <c r="R30" s="7">
        <f>('Imputed Data'!R30-'Imputed Data'!R29)/'Imputed Data'!R29</f>
        <v>7.8802206461780922E-3</v>
      </c>
      <c r="S30" s="7">
        <f>('Imputed Data'!S30-'Imputed Data'!S29)/'Imputed Data'!S29</f>
        <v>5.613472333600664E-3</v>
      </c>
      <c r="T30" s="7">
        <f>('Imputed Data'!T30-'Imputed Data'!T29)/'Imputed Data'!T29</f>
        <v>4.1390728476821195E-3</v>
      </c>
      <c r="U30" s="7">
        <f>('Imputed Data'!U30-'Imputed Data'!U29)/'Imputed Data'!U29</f>
        <v>4.8348106365834692E-3</v>
      </c>
      <c r="V30" s="7">
        <f>('Imputed Data'!V30-'Imputed Data'!V29)/'Imputed Data'!V29</f>
        <v>3.3557046979865056E-3</v>
      </c>
      <c r="W30" s="7">
        <f>('Imputed Data'!W30-'Imputed Data'!W29)/'Imputed Data'!W29</f>
        <v>4.2122999157540014E-3</v>
      </c>
      <c r="X30" s="7">
        <f>('Imputed Data'!X30-'Imputed Data'!X29)/'Imputed Data'!X29</f>
        <v>4.1771094402673348E-3</v>
      </c>
      <c r="Y30" s="7">
        <f>('Imputed Data'!Y30-'Imputed Data'!Y29)/'Imputed Data'!Y29</f>
        <v>5.1238257899232156E-3</v>
      </c>
      <c r="Z30" s="7">
        <f>('Imputed Data'!Z30-'Imputed Data'!Z29)/'Imputed Data'!Z29</f>
        <v>1.7257039055404232E-2</v>
      </c>
      <c r="AA30" s="7">
        <f>('Imputed Data'!AA30-'Imputed Data'!AA29)/'Imputed Data'!AA29</f>
        <v>3.4512510785158885E-3</v>
      </c>
      <c r="AB30" s="7">
        <f>('Imputed Data'!AB30-'Imputed Data'!AB29)/'Imputed Data'!AB29</f>
        <v>3.3057851239669893E-3</v>
      </c>
      <c r="AC30" s="7">
        <f>('Imputed Data'!AC30-'Imputed Data'!AC29)/'Imputed Data'!AC29</f>
        <v>5.3715308863025455E-3</v>
      </c>
      <c r="AD30" s="7">
        <f>('Imputed Data'!AD30-'Imputed Data'!AD29)/'Imputed Data'!AD29</f>
        <v>8.6880973066898355E-3</v>
      </c>
      <c r="AE30" s="7">
        <f>('Imputed Data'!AE30-'Imputed Data'!AE29)/'Imputed Data'!AE29</f>
        <v>7.4565037282517937E-3</v>
      </c>
    </row>
    <row r="31" spans="1:31" x14ac:dyDescent="0.25">
      <c r="A31" s="1">
        <f>'Imputed Data'!A31</f>
        <v>42156</v>
      </c>
      <c r="B31" s="1" t="str">
        <f>'Imputed Data'!B31</f>
        <v>Rural+Urban</v>
      </c>
      <c r="C31" s="2">
        <f>'Imputed Data'!C31</f>
        <v>2015</v>
      </c>
      <c r="D31" s="1" t="str">
        <f>'Imputed Data'!D31</f>
        <v>June</v>
      </c>
      <c r="E31" s="7">
        <f>('Imputed Data'!E31-'Imputed Data'!E30)/'Imputed Data'!E30</f>
        <v>2.4271844660195096E-3</v>
      </c>
      <c r="F31" s="7">
        <f>('Imputed Data'!F31-'Imputed Data'!F30)/'Imputed Data'!F30</f>
        <v>2.9687500000000089E-2</v>
      </c>
      <c r="G31" s="7">
        <f>('Imputed Data'!G31-'Imputed Data'!G30)/'Imputed Data'!G30</f>
        <v>5.7391304347826036E-2</v>
      </c>
      <c r="H31" s="7">
        <f>('Imputed Data'!H31-'Imputed Data'!H30)/'Imputed Data'!H30</f>
        <v>7.069913589944945E-3</v>
      </c>
      <c r="I31" s="7">
        <f>('Imputed Data'!I31-'Imputed Data'!I30)/'Imputed Data'!I30</f>
        <v>1.1839708561020011E-2</v>
      </c>
      <c r="J31" s="7">
        <f>('Imputed Data'!J31-'Imputed Data'!J30)/'Imputed Data'!J30</f>
        <v>1.5082956259428134E-3</v>
      </c>
      <c r="K31" s="7">
        <f>('Imputed Data'!K31-'Imputed Data'!K30)/'Imputed Data'!K30</f>
        <v>6.2643239113827257E-2</v>
      </c>
      <c r="L31" s="7">
        <f>('Imputed Data'!L31-'Imputed Data'!L30)/'Imputed Data'!L30</f>
        <v>5.2873563218390845E-2</v>
      </c>
      <c r="M31" s="7">
        <f>('Imputed Data'!M31-'Imputed Data'!M30)/'Imputed Data'!M30</f>
        <v>-1.2591815320042003E-2</v>
      </c>
      <c r="N31" s="7">
        <f>('Imputed Data'!N31-'Imputed Data'!N30)/'Imputed Data'!N30</f>
        <v>1.7017828200972401E-2</v>
      </c>
      <c r="O31" s="7">
        <f>('Imputed Data'!O31-'Imputed Data'!O30)/'Imputed Data'!O30</f>
        <v>5.0335570469798177E-3</v>
      </c>
      <c r="P31" s="7">
        <f>('Imputed Data'!P31-'Imputed Data'!P30)/'Imputed Data'!P30</f>
        <v>8.4745762711863955E-3</v>
      </c>
      <c r="Q31" s="7">
        <f>('Imputed Data'!Q31-'Imputed Data'!Q30)/'Imputed Data'!Q30</f>
        <v>1.8399999999999979E-2</v>
      </c>
      <c r="R31" s="7">
        <f>('Imputed Data'!R31-'Imputed Data'!R30)/'Imputed Data'!R30</f>
        <v>1.0164190774042087E-2</v>
      </c>
      <c r="S31" s="7">
        <f>('Imputed Data'!S31-'Imputed Data'!S30)/'Imputed Data'!S30</f>
        <v>7.9744816586921844E-3</v>
      </c>
      <c r="T31" s="7">
        <f>('Imputed Data'!T31-'Imputed Data'!T30)/'Imputed Data'!T30</f>
        <v>5.7708161582852666E-3</v>
      </c>
      <c r="U31" s="7">
        <f>('Imputed Data'!U31-'Imputed Data'!U30)/'Imputed Data'!U30</f>
        <v>8.0192461908580592E-3</v>
      </c>
      <c r="V31" s="7">
        <f>('Imputed Data'!V31-'Imputed Data'!V30)/'Imputed Data'!V30</f>
        <v>-5.0167224080267083E-3</v>
      </c>
      <c r="W31" s="7">
        <f>('Imputed Data'!W31-'Imputed Data'!W30)/'Imputed Data'!W30</f>
        <v>5.0335570469798177E-3</v>
      </c>
      <c r="X31" s="7">
        <f>('Imputed Data'!X31-'Imputed Data'!X30)/'Imputed Data'!X30</f>
        <v>7.4875207986688144E-3</v>
      </c>
      <c r="Y31" s="7">
        <f>('Imputed Data'!Y31-'Imputed Data'!Y30)/'Imputed Data'!Y30</f>
        <v>6.7969413763806046E-3</v>
      </c>
      <c r="Z31" s="7">
        <f>('Imputed Data'!Z31-'Imputed Data'!Z30)/'Imputed Data'!Z30</f>
        <v>8.035714285714337E-3</v>
      </c>
      <c r="AA31" s="7">
        <f>('Imputed Data'!AA31-'Imputed Data'!AA30)/'Imputed Data'!AA30</f>
        <v>5.1590713671539855E-3</v>
      </c>
      <c r="AB31" s="7">
        <f>('Imputed Data'!AB31-'Imputed Data'!AB30)/'Imputed Data'!AB30</f>
        <v>1.4003294892915887E-2</v>
      </c>
      <c r="AC31" s="7">
        <f>('Imputed Data'!AC31-'Imputed Data'!AC30)/'Imputed Data'!AC30</f>
        <v>4.4523597506678537E-3</v>
      </c>
      <c r="AD31" s="7">
        <f>('Imputed Data'!AD31-'Imputed Data'!AD30)/'Imputed Data'!AD30</f>
        <v>7.7519379844961734E-3</v>
      </c>
      <c r="AE31" s="7">
        <f>('Imputed Data'!AE31-'Imputed Data'!AE30)/'Imputed Data'!AE30</f>
        <v>1.151315789473689E-2</v>
      </c>
    </row>
    <row r="32" spans="1:31" x14ac:dyDescent="0.25">
      <c r="A32" s="1">
        <f>'Imputed Data'!A32</f>
        <v>42186</v>
      </c>
      <c r="B32" s="1" t="str">
        <f>'Imputed Data'!B32</f>
        <v>Rural+Urban</v>
      </c>
      <c r="C32" s="2">
        <f>'Imputed Data'!C32</f>
        <v>2015</v>
      </c>
      <c r="D32" s="1" t="str">
        <f>'Imputed Data'!D32</f>
        <v>July</v>
      </c>
      <c r="E32" s="7">
        <f>('Imputed Data'!E32-'Imputed Data'!E31)/'Imputed Data'!E31</f>
        <v>-1.6142050040355354E-3</v>
      </c>
      <c r="F32" s="7">
        <f>('Imputed Data'!F32-'Imputed Data'!F31)/'Imputed Data'!F31</f>
        <v>5.3110773899847389E-3</v>
      </c>
      <c r="G32" s="7">
        <f>('Imputed Data'!G32-'Imputed Data'!G31)/'Imputed Data'!G31</f>
        <v>-4.9342105263157432E-3</v>
      </c>
      <c r="H32" s="7">
        <f>('Imputed Data'!H32-'Imputed Data'!H31)/'Imputed Data'!H31</f>
        <v>7.8003120124822732E-4</v>
      </c>
      <c r="I32" s="7">
        <f>('Imputed Data'!I32-'Imputed Data'!I31)/'Imputed Data'!I31</f>
        <v>-1.800180018001698E-3</v>
      </c>
      <c r="J32" s="7">
        <f>('Imputed Data'!J32-'Imputed Data'!J31)/'Imputed Data'!J31</f>
        <v>2.2590361445781848E-3</v>
      </c>
      <c r="K32" s="7">
        <f>('Imputed Data'!K32-'Imputed Data'!K31)/'Imputed Data'!K31</f>
        <v>4.3134435657800146E-2</v>
      </c>
      <c r="L32" s="7">
        <f>('Imputed Data'!L32-'Imputed Data'!L31)/'Imputed Data'!L31</f>
        <v>1.2372634643376918E-2</v>
      </c>
      <c r="M32" s="7">
        <f>('Imputed Data'!M32-'Imputed Data'!M31)/'Imputed Data'!M31</f>
        <v>-2.9755579171094552E-2</v>
      </c>
      <c r="N32" s="7">
        <f>('Imputed Data'!N32-'Imputed Data'!N31)/'Imputed Data'!N31</f>
        <v>4.780876494023859E-3</v>
      </c>
      <c r="O32" s="7">
        <f>('Imputed Data'!O32-'Imputed Data'!O31)/'Imputed Data'!O31</f>
        <v>8.3472454090157365E-4</v>
      </c>
      <c r="P32" s="7">
        <f>('Imputed Data'!P32-'Imputed Data'!P31)/'Imputed Data'!P31</f>
        <v>3.819709702062643E-3</v>
      </c>
      <c r="Q32" s="7">
        <f>('Imputed Data'!Q32-'Imputed Data'!Q31)/'Imputed Data'!Q31</f>
        <v>7.069913589944945E-3</v>
      </c>
      <c r="R32" s="7">
        <f>('Imputed Data'!R32-'Imputed Data'!R31)/'Imputed Data'!R31</f>
        <v>9.2879256965945605E-3</v>
      </c>
      <c r="S32" s="7">
        <f>('Imputed Data'!S32-'Imputed Data'!S31)/'Imputed Data'!S31</f>
        <v>2.3734177215189649E-3</v>
      </c>
      <c r="T32" s="7">
        <f>('Imputed Data'!T32-'Imputed Data'!T31)/'Imputed Data'!T31</f>
        <v>2.4590163934425997E-3</v>
      </c>
      <c r="U32" s="7">
        <f>('Imputed Data'!U32-'Imputed Data'!U31)/'Imputed Data'!U31</f>
        <v>3.1821797931582455E-3</v>
      </c>
      <c r="V32" s="7">
        <f>('Imputed Data'!V32-'Imputed Data'!V31)/'Imputed Data'!V31</f>
        <v>7.5630252100840813E-3</v>
      </c>
      <c r="W32" s="7">
        <f>('Imputed Data'!W32-'Imputed Data'!W31)/'Imputed Data'!W31</f>
        <v>2.5041736227044841E-3</v>
      </c>
      <c r="X32" s="7">
        <f>('Imputed Data'!X32-'Imputed Data'!X31)/'Imputed Data'!X31</f>
        <v>1.6515276630883803E-3</v>
      </c>
      <c r="Y32" s="7">
        <f>('Imputed Data'!Y32-'Imputed Data'!Y31)/'Imputed Data'!Y31</f>
        <v>4.2194092827004216E-3</v>
      </c>
      <c r="Z32" s="7">
        <f>('Imputed Data'!Z32-'Imputed Data'!Z31)/'Imputed Data'!Z31</f>
        <v>-1.7714791851195998E-3</v>
      </c>
      <c r="AA32" s="7">
        <f>('Imputed Data'!AA32-'Imputed Data'!AA31)/'Imputed Data'!AA31</f>
        <v>2.5662959794696075E-3</v>
      </c>
      <c r="AB32" s="7">
        <f>('Imputed Data'!AB32-'Imputed Data'!AB31)/'Imputed Data'!AB31</f>
        <v>1.056051990251837E-2</v>
      </c>
      <c r="AC32" s="7">
        <f>('Imputed Data'!AC32-'Imputed Data'!AC31)/'Imputed Data'!AC31</f>
        <v>-4.4326241134751776E-3</v>
      </c>
      <c r="AD32" s="7">
        <f>('Imputed Data'!AD32-'Imputed Data'!AD31)/'Imputed Data'!AD31</f>
        <v>1.7094017094017337E-3</v>
      </c>
      <c r="AE32" s="7">
        <f>('Imputed Data'!AE32-'Imputed Data'!AE31)/'Imputed Data'!AE31</f>
        <v>4.8780487804877589E-3</v>
      </c>
    </row>
    <row r="33" spans="1:31" x14ac:dyDescent="0.25">
      <c r="A33" s="1">
        <f>'Imputed Data'!A33</f>
        <v>42217</v>
      </c>
      <c r="B33" s="1" t="str">
        <f>'Imputed Data'!B33</f>
        <v>Rural+Urban</v>
      </c>
      <c r="C33" s="2">
        <f>'Imputed Data'!C33</f>
        <v>2015</v>
      </c>
      <c r="D33" s="1" t="str">
        <f>'Imputed Data'!D33</f>
        <v>August</v>
      </c>
      <c r="E33" s="7">
        <f>('Imputed Data'!E33-'Imputed Data'!E32)/'Imputed Data'!E32</f>
        <v>4.0420371867421184E-3</v>
      </c>
      <c r="F33" s="7">
        <f>('Imputed Data'!F33-'Imputed Data'!F32)/'Imputed Data'!F32</f>
        <v>-8.3018867924527871E-3</v>
      </c>
      <c r="G33" s="7">
        <f>('Imputed Data'!G33-'Imputed Data'!G32)/'Imputed Data'!G32</f>
        <v>-7.4380165289256667E-3</v>
      </c>
      <c r="H33" s="7">
        <f>('Imputed Data'!H33-'Imputed Data'!H32)/'Imputed Data'!H32</f>
        <v>1.5588464536242293E-3</v>
      </c>
      <c r="I33" s="7">
        <f>('Imputed Data'!I33-'Imputed Data'!I32)/'Imputed Data'!I32</f>
        <v>4.508566275924256E-3</v>
      </c>
      <c r="J33" s="7">
        <f>('Imputed Data'!J33-'Imputed Data'!J32)/'Imputed Data'!J32</f>
        <v>-6.010518407212494E-3</v>
      </c>
      <c r="K33" s="7">
        <f>('Imputed Data'!K33-'Imputed Data'!K32)/'Imputed Data'!K32</f>
        <v>8.6147484493452789E-2</v>
      </c>
      <c r="L33" s="7">
        <f>('Imputed Data'!L33-'Imputed Data'!L32)/'Imputed Data'!L32</f>
        <v>3.5226455787203494E-2</v>
      </c>
      <c r="M33" s="7">
        <f>('Imputed Data'!M33-'Imputed Data'!M32)/'Imputed Data'!M32</f>
        <v>-8.7623220153340321E-3</v>
      </c>
      <c r="N33" s="7">
        <f>('Imputed Data'!N33-'Imputed Data'!N32)/'Imputed Data'!N32</f>
        <v>5.551149881046811E-3</v>
      </c>
      <c r="O33" s="7">
        <f>('Imputed Data'!O33-'Imputed Data'!O32)/'Imputed Data'!O32</f>
        <v>4.1701417848206837E-3</v>
      </c>
      <c r="P33" s="7">
        <f>('Imputed Data'!P33-'Imputed Data'!P32)/'Imputed Data'!P32</f>
        <v>5.3272450532723635E-3</v>
      </c>
      <c r="Q33" s="7">
        <f>('Imputed Data'!Q33-'Imputed Data'!Q32)/'Imputed Data'!Q32</f>
        <v>1.6380655226209226E-2</v>
      </c>
      <c r="R33" s="7">
        <f>('Imputed Data'!R33-'Imputed Data'!R32)/'Imputed Data'!R32</f>
        <v>6.1349693251532434E-3</v>
      </c>
      <c r="S33" s="7">
        <f>('Imputed Data'!S33-'Imputed Data'!S32)/'Imputed Data'!S32</f>
        <v>3.9463299131807421E-3</v>
      </c>
      <c r="T33" s="7">
        <f>('Imputed Data'!T33-'Imputed Data'!T32)/'Imputed Data'!T32</f>
        <v>4.9059689288635201E-3</v>
      </c>
      <c r="U33" s="7">
        <f>('Imputed Data'!U33-'Imputed Data'!U32)/'Imputed Data'!U32</f>
        <v>3.9651070578905628E-3</v>
      </c>
      <c r="V33" s="7">
        <f>('Imputed Data'!V33-'Imputed Data'!V32)/'Imputed Data'!V32</f>
        <v>8.3402835696413675E-3</v>
      </c>
      <c r="W33" s="7">
        <f>('Imputed Data'!W33-'Imputed Data'!W32)/'Imputed Data'!W32</f>
        <v>4.163197335553705E-3</v>
      </c>
      <c r="X33" s="7">
        <f>('Imputed Data'!X33-'Imputed Data'!X32)/'Imputed Data'!X32</f>
        <v>5.7708161582852666E-3</v>
      </c>
      <c r="Y33" s="7">
        <f>('Imputed Data'!Y33-'Imputed Data'!Y32)/'Imputed Data'!Y32</f>
        <v>3.361344537815174E-3</v>
      </c>
      <c r="Z33" s="7">
        <f>('Imputed Data'!Z33-'Imputed Data'!Z32)/'Imputed Data'!Z32</f>
        <v>-8.8731144631765749E-3</v>
      </c>
      <c r="AA33" s="7">
        <f>('Imputed Data'!AA33-'Imputed Data'!AA32)/'Imputed Data'!AA32</f>
        <v>5.119453924914627E-3</v>
      </c>
      <c r="AB33" s="7">
        <f>('Imputed Data'!AB33-'Imputed Data'!AB32)/'Imputed Data'!AB32</f>
        <v>5.627009646302159E-3</v>
      </c>
      <c r="AC33" s="7">
        <f>('Imputed Data'!AC33-'Imputed Data'!AC32)/'Imputed Data'!AC32</f>
        <v>0</v>
      </c>
      <c r="AD33" s="7">
        <f>('Imputed Data'!AD33-'Imputed Data'!AD32)/'Imputed Data'!AD32</f>
        <v>0</v>
      </c>
      <c r="AE33" s="7">
        <f>('Imputed Data'!AE33-'Imputed Data'!AE32)/'Imputed Data'!AE32</f>
        <v>9.7087378640776933E-3</v>
      </c>
    </row>
    <row r="34" spans="1:31" x14ac:dyDescent="0.25">
      <c r="A34" s="1">
        <f>'Imputed Data'!A34</f>
        <v>42248</v>
      </c>
      <c r="B34" s="1" t="str">
        <f>'Imputed Data'!B34</f>
        <v>Rural+Urban</v>
      </c>
      <c r="C34" s="2">
        <f>'Imputed Data'!C34</f>
        <v>2015</v>
      </c>
      <c r="D34" s="1" t="str">
        <f>'Imputed Data'!D34</f>
        <v>September</v>
      </c>
      <c r="E34" s="7">
        <f>('Imputed Data'!E34-'Imputed Data'!E33)/'Imputed Data'!E33</f>
        <v>3.2206119162640216E-3</v>
      </c>
      <c r="F34" s="7">
        <f>('Imputed Data'!F34-'Imputed Data'!F33)/'Imputed Data'!F33</f>
        <v>-7.6103500761035003E-3</v>
      </c>
      <c r="G34" s="7">
        <f>('Imputed Data'!G34-'Imputed Data'!G33)/'Imputed Data'!G33</f>
        <v>-1.1656952539550304E-2</v>
      </c>
      <c r="H34" s="7">
        <f>('Imputed Data'!H34-'Imputed Data'!H33)/'Imputed Data'!H33</f>
        <v>3.1128404669261145E-3</v>
      </c>
      <c r="I34" s="7">
        <f>('Imputed Data'!I34-'Imputed Data'!I33)/'Imputed Data'!I33</f>
        <v>4.4883303411131061E-3</v>
      </c>
      <c r="J34" s="7">
        <f>('Imputed Data'!J34-'Imputed Data'!J33)/'Imputed Data'!J33</f>
        <v>-2.9478458049886663E-2</v>
      </c>
      <c r="K34" s="7">
        <f>('Imputed Data'!K34-'Imputed Data'!K33)/'Imputed Data'!K33</f>
        <v>2.9187817258883215E-2</v>
      </c>
      <c r="L34" s="7">
        <f>('Imputed Data'!L34-'Imputed Data'!L33)/'Imputed Data'!L33</f>
        <v>4.1666666666666664E-2</v>
      </c>
      <c r="M34" s="7">
        <f>('Imputed Data'!M34-'Imputed Data'!M33)/'Imputed Data'!M33</f>
        <v>-1.1049723756905449E-3</v>
      </c>
      <c r="N34" s="7">
        <f>('Imputed Data'!N34-'Imputed Data'!N33)/'Imputed Data'!N33</f>
        <v>1.2618296529968522E-2</v>
      </c>
      <c r="O34" s="7">
        <f>('Imputed Data'!O34-'Imputed Data'!O33)/'Imputed Data'!O33</f>
        <v>2.4916943521594449E-3</v>
      </c>
      <c r="P34" s="7">
        <f>('Imputed Data'!P34-'Imputed Data'!P33)/'Imputed Data'!P33</f>
        <v>3.0280090840272954E-3</v>
      </c>
      <c r="Q34" s="7">
        <f>('Imputed Data'!Q34-'Imputed Data'!Q33)/'Imputed Data'!Q33</f>
        <v>6.907137375287622E-3</v>
      </c>
      <c r="R34" s="7">
        <f>('Imputed Data'!R34-'Imputed Data'!R33)/'Imputed Data'!R33</f>
        <v>6.097560975609843E-3</v>
      </c>
      <c r="S34" s="7">
        <f>('Imputed Data'!S34-'Imputed Data'!S33)/'Imputed Data'!S33</f>
        <v>5.5031446540880725E-3</v>
      </c>
      <c r="T34" s="7">
        <f>('Imputed Data'!T34-'Imputed Data'!T33)/'Imputed Data'!T33</f>
        <v>4.0683482506102524E-3</v>
      </c>
      <c r="U34" s="7">
        <f>('Imputed Data'!U34-'Imputed Data'!U33)/'Imputed Data'!U33</f>
        <v>4.7393364928910624E-3</v>
      </c>
      <c r="V34" s="7">
        <f>('Imputed Data'!V34-'Imputed Data'!V33)/'Imputed Data'!V33</f>
        <v>5.7899090157153728E-3</v>
      </c>
      <c r="W34" s="7">
        <f>('Imputed Data'!W34-'Imputed Data'!W33)/'Imputed Data'!W33</f>
        <v>-1.6583747927030566E-3</v>
      </c>
      <c r="X34" s="7">
        <f>('Imputed Data'!X34-'Imputed Data'!X33)/'Imputed Data'!X33</f>
        <v>4.9180327868851995E-3</v>
      </c>
      <c r="Y34" s="7">
        <f>('Imputed Data'!Y34-'Imputed Data'!Y33)/'Imputed Data'!Y33</f>
        <v>3.3500837520937308E-3</v>
      </c>
      <c r="Z34" s="7">
        <f>('Imputed Data'!Z34-'Imputed Data'!Z33)/'Imputed Data'!Z33</f>
        <v>-3.5810205908684482E-3</v>
      </c>
      <c r="AA34" s="7">
        <f>('Imputed Data'!AA34-'Imputed Data'!AA33)/'Imputed Data'!AA33</f>
        <v>4.2444821731748728E-3</v>
      </c>
      <c r="AB34" s="7">
        <f>('Imputed Data'!AB34-'Imputed Data'!AB33)/'Imputed Data'!AB33</f>
        <v>4.7961630695444327E-3</v>
      </c>
      <c r="AC34" s="7">
        <f>('Imputed Data'!AC34-'Imputed Data'!AC33)/'Imputed Data'!AC33</f>
        <v>9.7951914514693549E-3</v>
      </c>
      <c r="AD34" s="7">
        <f>('Imputed Data'!AD34-'Imputed Data'!AD33)/'Imputed Data'!AD33</f>
        <v>2.5597269624573135E-3</v>
      </c>
      <c r="AE34" s="7">
        <f>('Imputed Data'!AE34-'Imputed Data'!AE33)/'Imputed Data'!AE33</f>
        <v>4.8076923076923765E-3</v>
      </c>
    </row>
    <row r="35" spans="1:31" x14ac:dyDescent="0.25">
      <c r="A35" s="1">
        <f>'Imputed Data'!A35</f>
        <v>42278</v>
      </c>
      <c r="B35" s="1" t="str">
        <f>'Imputed Data'!B35</f>
        <v>Rural+Urban</v>
      </c>
      <c r="C35" s="2">
        <f>'Imputed Data'!C35</f>
        <v>2015</v>
      </c>
      <c r="D35" s="1" t="str">
        <f>'Imputed Data'!D35</f>
        <v>October</v>
      </c>
      <c r="E35" s="7">
        <f>('Imputed Data'!E35-'Imputed Data'!E34)/'Imputed Data'!E34</f>
        <v>3.2102728731942675E-3</v>
      </c>
      <c r="F35" s="7">
        <f>('Imputed Data'!F35-'Imputed Data'!F34)/'Imputed Data'!F34</f>
        <v>-4.6012269938649868E-3</v>
      </c>
      <c r="G35" s="7">
        <f>('Imputed Data'!G35-'Imputed Data'!G34)/'Imputed Data'!G34</f>
        <v>1.6849199663016247E-3</v>
      </c>
      <c r="H35" s="7">
        <f>('Imputed Data'!H35-'Imputed Data'!H34)/'Imputed Data'!H34</f>
        <v>1.5515903801395549E-3</v>
      </c>
      <c r="I35" s="7">
        <f>('Imputed Data'!I35-'Imputed Data'!I34)/'Imputed Data'!I34</f>
        <v>1.2511170688114311E-2</v>
      </c>
      <c r="J35" s="7">
        <f>('Imputed Data'!J35-'Imputed Data'!J34)/'Imputed Data'!J34</f>
        <v>4.6728971962616377E-3</v>
      </c>
      <c r="K35" s="7">
        <f>('Imputed Data'!K35-'Imputed Data'!K34)/'Imputed Data'!K34</f>
        <v>-1.109741060419225E-2</v>
      </c>
      <c r="L35" s="7">
        <f>('Imputed Data'!L35-'Imputed Data'!L34)/'Imputed Data'!L34</f>
        <v>0.10200000000000008</v>
      </c>
      <c r="M35" s="7">
        <f>('Imputed Data'!M35-'Imputed Data'!M34)/'Imputed Data'!M34</f>
        <v>2.1017699115044152E-2</v>
      </c>
      <c r="N35" s="7">
        <f>('Imputed Data'!N35-'Imputed Data'!N34)/'Imputed Data'!N34</f>
        <v>1.0124610591900179E-2</v>
      </c>
      <c r="O35" s="7">
        <f>('Imputed Data'!O35-'Imputed Data'!O34)/'Imputed Data'!O34</f>
        <v>3.3140016570007576E-3</v>
      </c>
      <c r="P35" s="7">
        <f>('Imputed Data'!P35-'Imputed Data'!P34)/'Imputed Data'!P34</f>
        <v>3.7735849056603774E-3</v>
      </c>
      <c r="Q35" s="7">
        <f>('Imputed Data'!Q35-'Imputed Data'!Q34)/'Imputed Data'!Q34</f>
        <v>6.8597560975610199E-3</v>
      </c>
      <c r="R35" s="7">
        <f>('Imputed Data'!R35-'Imputed Data'!R34)/'Imputed Data'!R34</f>
        <v>3.787878787878788E-3</v>
      </c>
      <c r="S35" s="7">
        <f>('Imputed Data'!S35-'Imputed Data'!S34)/'Imputed Data'!S34</f>
        <v>4.6911649726348262E-3</v>
      </c>
      <c r="T35" s="7">
        <f>('Imputed Data'!T35-'Imputed Data'!T34)/'Imputed Data'!T34</f>
        <v>3.2414910858994447E-3</v>
      </c>
      <c r="U35" s="7">
        <f>('Imputed Data'!U35-'Imputed Data'!U34)/'Imputed Data'!U34</f>
        <v>4.7169811320754273E-3</v>
      </c>
      <c r="V35" s="7">
        <f>('Imputed Data'!V35-'Imputed Data'!V34)/'Imputed Data'!V34</f>
        <v>6.5789473684211468E-3</v>
      </c>
      <c r="W35" s="7">
        <f>('Imputed Data'!W35-'Imputed Data'!W34)/'Imputed Data'!W34</f>
        <v>3.3222591362125535E-3</v>
      </c>
      <c r="X35" s="7">
        <f>('Imputed Data'!X35-'Imputed Data'!X34)/'Imputed Data'!X34</f>
        <v>3.2626427406199487E-3</v>
      </c>
      <c r="Y35" s="7">
        <f>('Imputed Data'!Y35-'Imputed Data'!Y34)/'Imputed Data'!Y34</f>
        <v>5.0083472454090861E-3</v>
      </c>
      <c r="Z35" s="7">
        <f>('Imputed Data'!Z35-'Imputed Data'!Z34)/'Imputed Data'!Z34</f>
        <v>8.9847259658588073E-4</v>
      </c>
      <c r="AA35" s="7">
        <f>('Imputed Data'!AA35-'Imputed Data'!AA34)/'Imputed Data'!AA34</f>
        <v>3.3812341504649676E-3</v>
      </c>
      <c r="AB35" s="7">
        <f>('Imputed Data'!AB35-'Imputed Data'!AB34)/'Imputed Data'!AB34</f>
        <v>1.5910898965791793E-3</v>
      </c>
      <c r="AC35" s="7">
        <f>('Imputed Data'!AC35-'Imputed Data'!AC34)/'Imputed Data'!AC34</f>
        <v>4.4091710758377423E-3</v>
      </c>
      <c r="AD35" s="7">
        <f>('Imputed Data'!AD35-'Imputed Data'!AD34)/'Imputed Data'!AD34</f>
        <v>3.4042553191489847E-3</v>
      </c>
      <c r="AE35" s="7">
        <f>('Imputed Data'!AE35-'Imputed Data'!AE34)/'Imputed Data'!AE34</f>
        <v>5.5821371610844384E-3</v>
      </c>
    </row>
    <row r="36" spans="1:31" x14ac:dyDescent="0.25">
      <c r="A36" s="1">
        <f>'Imputed Data'!A36</f>
        <v>42309</v>
      </c>
      <c r="B36" s="1" t="str">
        <f>'Imputed Data'!B36</f>
        <v>Rural+Urban</v>
      </c>
      <c r="C36" s="2">
        <f>'Imputed Data'!C36</f>
        <v>2015</v>
      </c>
      <c r="D36" s="1" t="str">
        <f>'Imputed Data'!D36</f>
        <v>November</v>
      </c>
      <c r="E36" s="7">
        <f>('Imputed Data'!E36-'Imputed Data'!E35)/'Imputed Data'!E35</f>
        <v>3.2000000000000457E-3</v>
      </c>
      <c r="F36" s="7">
        <f>('Imputed Data'!F36-'Imputed Data'!F35)/'Imputed Data'!F35</f>
        <v>3.8520801232665635E-3</v>
      </c>
      <c r="G36" s="7">
        <f>('Imputed Data'!G36-'Imputed Data'!G35)/'Imputed Data'!G35</f>
        <v>2.2708158116063821E-2</v>
      </c>
      <c r="H36" s="7">
        <f>('Imputed Data'!H36-'Imputed Data'!H35)/'Imputed Data'!H35</f>
        <v>7.7459333849724495E-4</v>
      </c>
      <c r="I36" s="7">
        <f>('Imputed Data'!I36-'Imputed Data'!I35)/'Imputed Data'!I35</f>
        <v>1.4121800529567595E-2</v>
      </c>
      <c r="J36" s="7">
        <f>('Imputed Data'!J36-'Imputed Data'!J35)/'Imputed Data'!J35</f>
        <v>-6.2015503875969876E-3</v>
      </c>
      <c r="K36" s="7">
        <f>('Imputed Data'!K36-'Imputed Data'!K35)/'Imputed Data'!K35</f>
        <v>-1.2468827930174562E-2</v>
      </c>
      <c r="L36" s="7">
        <f>('Imputed Data'!L36-'Imputed Data'!L35)/'Imputed Data'!L35</f>
        <v>3.5692679975801431E-2</v>
      </c>
      <c r="M36" s="7">
        <f>('Imputed Data'!M36-'Imputed Data'!M35)/'Imputed Data'!M35</f>
        <v>1.0834236186348862E-2</v>
      </c>
      <c r="N36" s="7">
        <f>('Imputed Data'!N36-'Imputed Data'!N35)/'Imputed Data'!N35</f>
        <v>1.1565150346954512E-2</v>
      </c>
      <c r="O36" s="7">
        <f>('Imputed Data'!O36-'Imputed Data'!O35)/'Imputed Data'!O35</f>
        <v>4.9545829892651411E-3</v>
      </c>
      <c r="P36" s="7">
        <f>('Imputed Data'!P36-'Imputed Data'!P35)/'Imputed Data'!P35</f>
        <v>7.5187969924812026E-3</v>
      </c>
      <c r="Q36" s="7">
        <f>('Imputed Data'!Q36-'Imputed Data'!Q35)/'Imputed Data'!Q35</f>
        <v>4.5420136260408356E-3</v>
      </c>
      <c r="R36" s="7">
        <f>('Imputed Data'!R36-'Imputed Data'!R35)/'Imputed Data'!R35</f>
        <v>8.3018867924527871E-3</v>
      </c>
      <c r="S36" s="7">
        <f>('Imputed Data'!S36-'Imputed Data'!S35)/'Imputed Data'!S35</f>
        <v>6.225680933852229E-3</v>
      </c>
      <c r="T36" s="7">
        <f>('Imputed Data'!T36-'Imputed Data'!T35)/'Imputed Data'!T35</f>
        <v>5.6542810985460651E-3</v>
      </c>
      <c r="U36" s="7">
        <f>('Imputed Data'!U36-'Imputed Data'!U35)/'Imputed Data'!U35</f>
        <v>6.2597809076682092E-3</v>
      </c>
      <c r="V36" s="7">
        <f>('Imputed Data'!V36-'Imputed Data'!V35)/'Imputed Data'!V35</f>
        <v>4.0849673202614381E-3</v>
      </c>
      <c r="W36" s="7">
        <f>('Imputed Data'!W36-'Imputed Data'!W35)/'Imputed Data'!W35</f>
        <v>6.6225165562913673E-3</v>
      </c>
      <c r="X36" s="7">
        <f>('Imputed Data'!X36-'Imputed Data'!X35)/'Imputed Data'!X35</f>
        <v>3.2520325203252497E-3</v>
      </c>
      <c r="Y36" s="7">
        <f>('Imputed Data'!Y36-'Imputed Data'!Y35)/'Imputed Data'!Y35</f>
        <v>4.1528239202657802E-3</v>
      </c>
      <c r="Z36" s="7">
        <f>('Imputed Data'!Z36-'Imputed Data'!Z35)/'Imputed Data'!Z35</f>
        <v>8.9766606822257015E-4</v>
      </c>
      <c r="AA36" s="7">
        <f>('Imputed Data'!AA36-'Imputed Data'!AA35)/'Imputed Data'!AA35</f>
        <v>4.2122999157540014E-3</v>
      </c>
      <c r="AB36" s="7">
        <f>('Imputed Data'!AB36-'Imputed Data'!AB35)/'Imputed Data'!AB35</f>
        <v>3.1771247021444913E-3</v>
      </c>
      <c r="AC36" s="7">
        <f>('Imputed Data'!AC36-'Imputed Data'!AC35)/'Imputed Data'!AC35</f>
        <v>-8.7796312554880177E-4</v>
      </c>
      <c r="AD36" s="7">
        <f>('Imputed Data'!AD36-'Imputed Data'!AD35)/'Imputed Data'!AD35</f>
        <v>1.6963528413909128E-3</v>
      </c>
      <c r="AE36" s="7">
        <f>('Imputed Data'!AE36-'Imputed Data'!AE35)/'Imputed Data'!AE35</f>
        <v>3.9651070578905628E-3</v>
      </c>
    </row>
    <row r="37" spans="1:31" x14ac:dyDescent="0.25">
      <c r="A37" s="1">
        <f>'Imputed Data'!A37</f>
        <v>42339</v>
      </c>
      <c r="B37" s="1" t="str">
        <f>'Imputed Data'!B37</f>
        <v>Rural+Urban</v>
      </c>
      <c r="C37" s="2">
        <f>'Imputed Data'!C37</f>
        <v>2015</v>
      </c>
      <c r="D37" s="1" t="str">
        <f>'Imputed Data'!D37</f>
        <v>December</v>
      </c>
      <c r="E37" s="7">
        <f>('Imputed Data'!E37-'Imputed Data'!E36)/'Imputed Data'!E36</f>
        <v>2.3923444976076329E-3</v>
      </c>
      <c r="F37" s="7">
        <f>('Imputed Data'!F37-'Imputed Data'!F36)/'Imputed Data'!F36</f>
        <v>8.4420567920183744E-3</v>
      </c>
      <c r="G37" s="7">
        <f>('Imputed Data'!G37-'Imputed Data'!G36)/'Imputed Data'!G36</f>
        <v>2.6315789473684237E-2</v>
      </c>
      <c r="H37" s="7">
        <f>('Imputed Data'!H37-'Imputed Data'!H36)/'Imputed Data'!H36</f>
        <v>1.5479876160992034E-3</v>
      </c>
      <c r="I37" s="7">
        <f>('Imputed Data'!I37-'Imputed Data'!I36)/'Imputed Data'!I36</f>
        <v>3.4812880765882634E-3</v>
      </c>
      <c r="J37" s="7">
        <f>('Imputed Data'!J37-'Imputed Data'!J36)/'Imputed Data'!J36</f>
        <v>-1.2480499219968756E-2</v>
      </c>
      <c r="K37" s="7">
        <f>('Imputed Data'!K37-'Imputed Data'!K36)/'Imputed Data'!K36</f>
        <v>-7.3863636363636465E-2</v>
      </c>
      <c r="L37" s="7">
        <f>('Imputed Data'!L37-'Imputed Data'!L36)/'Imputed Data'!L36</f>
        <v>1.7523364485981974E-3</v>
      </c>
      <c r="M37" s="7">
        <f>('Imputed Data'!M37-'Imputed Data'!M36)/'Imputed Data'!M36</f>
        <v>1.2861736334405176E-2</v>
      </c>
      <c r="N37" s="7">
        <f>('Imputed Data'!N37-'Imputed Data'!N36)/'Imputed Data'!N36</f>
        <v>6.8597560975610199E-3</v>
      </c>
      <c r="O37" s="7">
        <f>('Imputed Data'!O37-'Imputed Data'!O36)/'Imputed Data'!O36</f>
        <v>2.4650780608052353E-3</v>
      </c>
      <c r="P37" s="7">
        <f>('Imputed Data'!P37-'Imputed Data'!P36)/'Imputed Data'!P36</f>
        <v>5.2238805970148405E-3</v>
      </c>
      <c r="Q37" s="7">
        <f>('Imputed Data'!Q37-'Imputed Data'!Q36)/'Imputed Data'!Q36</f>
        <v>-9.7965335342877404E-3</v>
      </c>
      <c r="R37" s="7">
        <f>('Imputed Data'!R37-'Imputed Data'!R36)/'Imputed Data'!R36</f>
        <v>6.7365269461078271E-3</v>
      </c>
      <c r="S37" s="7">
        <f>('Imputed Data'!S37-'Imputed Data'!S36)/'Imputed Data'!S36</f>
        <v>3.0935808197987413E-3</v>
      </c>
      <c r="T37" s="7">
        <f>('Imputed Data'!T37-'Imputed Data'!T36)/'Imputed Data'!T36</f>
        <v>2.4096385542168447E-3</v>
      </c>
      <c r="U37" s="7">
        <f>('Imputed Data'!U37-'Imputed Data'!U36)/'Imputed Data'!U36</f>
        <v>3.110419906687447E-3</v>
      </c>
      <c r="V37" s="7">
        <f>('Imputed Data'!V37-'Imputed Data'!V36)/'Imputed Data'!V36</f>
        <v>-4.0683482506102524E-3</v>
      </c>
      <c r="W37" s="7">
        <f>('Imputed Data'!W37-'Imputed Data'!W36)/'Imputed Data'!W36</f>
        <v>3.2894736842105734E-3</v>
      </c>
      <c r="X37" s="7">
        <f>('Imputed Data'!X37-'Imputed Data'!X36)/'Imputed Data'!X36</f>
        <v>1.6207455429496647E-3</v>
      </c>
      <c r="Y37" s="7">
        <f>('Imputed Data'!Y37-'Imputed Data'!Y36)/'Imputed Data'!Y36</f>
        <v>4.1356492969396195E-3</v>
      </c>
      <c r="Z37" s="7">
        <f>('Imputed Data'!Z37-'Imputed Data'!Z36)/'Imputed Data'!Z36</f>
        <v>0</v>
      </c>
      <c r="AA37" s="7">
        <f>('Imputed Data'!AA37-'Imputed Data'!AA36)/'Imputed Data'!AA36</f>
        <v>3.3557046979865056E-3</v>
      </c>
      <c r="AB37" s="7">
        <f>('Imputed Data'!AB37-'Imputed Data'!AB36)/'Imputed Data'!AB36</f>
        <v>-7.9176563737129305E-4</v>
      </c>
      <c r="AC37" s="7">
        <f>('Imputed Data'!AC37-'Imputed Data'!AC36)/'Imputed Data'!AC36</f>
        <v>-8.7873462214406255E-4</v>
      </c>
      <c r="AD37" s="7">
        <f>('Imputed Data'!AD37-'Imputed Data'!AD36)/'Imputed Data'!AD36</f>
        <v>1.6934801016088303E-3</v>
      </c>
      <c r="AE37" s="7">
        <f>('Imputed Data'!AE37-'Imputed Data'!AE36)/'Imputed Data'!AE36</f>
        <v>-3.9494470774091633E-3</v>
      </c>
    </row>
    <row r="38" spans="1:31" x14ac:dyDescent="0.25">
      <c r="A38" s="1">
        <f>'Imputed Data'!A38</f>
        <v>42370</v>
      </c>
      <c r="B38" s="1" t="str">
        <f>'Imputed Data'!B38</f>
        <v>Rural+Urban</v>
      </c>
      <c r="C38" s="2">
        <f>'Imputed Data'!C38</f>
        <v>2016</v>
      </c>
      <c r="D38" s="1" t="str">
        <f>'Imputed Data'!D38</f>
        <v>January</v>
      </c>
      <c r="E38" s="7">
        <f>('Imputed Data'!E38-'Imputed Data'!E37)/'Imputed Data'!E37</f>
        <v>3.1821797931582455E-3</v>
      </c>
      <c r="F38" s="7">
        <f>('Imputed Data'!F38-'Imputed Data'!F37)/'Imputed Data'!F37</f>
        <v>2.0547945205479364E-2</v>
      </c>
      <c r="G38" s="7">
        <f>('Imputed Data'!G38-'Imputed Data'!G37)/'Imputed Data'!G37</f>
        <v>3.0448717948717927E-2</v>
      </c>
      <c r="H38" s="7">
        <f>('Imputed Data'!H38-'Imputed Data'!H37)/'Imputed Data'!H37</f>
        <v>3.8639876352395673E-3</v>
      </c>
      <c r="I38" s="7">
        <f>('Imputed Data'!I38-'Imputed Data'!I37)/'Imputed Data'!I37</f>
        <v>1.7346053772766942E-3</v>
      </c>
      <c r="J38" s="7">
        <f>('Imputed Data'!J38-'Imputed Data'!J37)/'Imputed Data'!J37</f>
        <v>-7.1090047393364258E-3</v>
      </c>
      <c r="K38" s="7">
        <f>('Imputed Data'!K38-'Imputed Data'!K37)/'Imputed Data'!K37</f>
        <v>-3.5446489434219422E-2</v>
      </c>
      <c r="L38" s="7">
        <f>('Imputed Data'!L38-'Imputed Data'!L37)/'Imputed Data'!L37</f>
        <v>-4.6647230320700376E-3</v>
      </c>
      <c r="M38" s="7">
        <f>('Imputed Data'!M38-'Imputed Data'!M37)/'Imputed Data'!M37</f>
        <v>3.0687830687830746E-2</v>
      </c>
      <c r="N38" s="7">
        <f>('Imputed Data'!N38-'Imputed Data'!N37)/'Imputed Data'!N37</f>
        <v>6.0560181680545909E-3</v>
      </c>
      <c r="O38" s="7">
        <f>('Imputed Data'!O38-'Imputed Data'!O37)/'Imputed Data'!O37</f>
        <v>5.7377049180328101E-3</v>
      </c>
      <c r="P38" s="7">
        <f>('Imputed Data'!P38-'Imputed Data'!P37)/'Imputed Data'!P37</f>
        <v>4.4543429844099685E-3</v>
      </c>
      <c r="Q38" s="7">
        <f>('Imputed Data'!Q38-'Imputed Data'!Q37)/'Imputed Data'!Q37</f>
        <v>-7.6103500761030677E-4</v>
      </c>
      <c r="R38" s="7">
        <f>('Imputed Data'!R38-'Imputed Data'!R37)/'Imputed Data'!R37</f>
        <v>5.2044609665426664E-3</v>
      </c>
      <c r="S38" s="7">
        <f>('Imputed Data'!S38-'Imputed Data'!S37)/'Imputed Data'!S37</f>
        <v>4.6260601387819802E-3</v>
      </c>
      <c r="T38" s="7">
        <f>('Imputed Data'!T38-'Imputed Data'!T37)/'Imputed Data'!T37</f>
        <v>2.403846153846131E-3</v>
      </c>
      <c r="U38" s="7">
        <f>('Imputed Data'!U38-'Imputed Data'!U37)/'Imputed Data'!U37</f>
        <v>3.875968992248062E-3</v>
      </c>
      <c r="V38" s="7">
        <f>('Imputed Data'!V38-'Imputed Data'!V37)/'Imputed Data'!V37</f>
        <v>8.1699346405228763E-3</v>
      </c>
      <c r="W38" s="7">
        <f>('Imputed Data'!W38-'Imputed Data'!W37)/'Imputed Data'!W37</f>
        <v>5.7377049180328101E-3</v>
      </c>
      <c r="X38" s="7">
        <f>('Imputed Data'!X38-'Imputed Data'!X37)/'Imputed Data'!X37</f>
        <v>4.8543689320389039E-3</v>
      </c>
      <c r="Y38" s="7">
        <f>('Imputed Data'!Y38-'Imputed Data'!Y37)/'Imputed Data'!Y37</f>
        <v>4.9423393739702988E-3</v>
      </c>
      <c r="Z38" s="7">
        <f>('Imputed Data'!Z38-'Imputed Data'!Z37)/'Imputed Data'!Z37</f>
        <v>-3.5874439461883916E-3</v>
      </c>
      <c r="AA38" s="7">
        <f>('Imputed Data'!AA38-'Imputed Data'!AA37)/'Imputed Data'!AA37</f>
        <v>1.6722408026756091E-3</v>
      </c>
      <c r="AB38" s="7">
        <f>('Imputed Data'!AB38-'Imputed Data'!AB37)/'Imputed Data'!AB37</f>
        <v>7.9239302694131784E-4</v>
      </c>
      <c r="AC38" s="7">
        <f>('Imputed Data'!AC38-'Imputed Data'!AC37)/'Imputed Data'!AC37</f>
        <v>7.0360598065083305E-3</v>
      </c>
      <c r="AD38" s="7">
        <f>('Imputed Data'!AD38-'Imputed Data'!AD37)/'Imputed Data'!AD37</f>
        <v>1.6906170752324838E-3</v>
      </c>
      <c r="AE38" s="7">
        <f>('Imputed Data'!AE38-'Imputed Data'!AE37)/'Imputed Data'!AE37</f>
        <v>1.5860428231562478E-3</v>
      </c>
    </row>
    <row r="39" spans="1:31" x14ac:dyDescent="0.25">
      <c r="A39" s="1">
        <f>'Imputed Data'!A39</f>
        <v>42401</v>
      </c>
      <c r="B39" s="1" t="str">
        <f>'Imputed Data'!B39</f>
        <v>Rural+Urban</v>
      </c>
      <c r="C39" s="2">
        <f>'Imputed Data'!C39</f>
        <v>2016</v>
      </c>
      <c r="D39" s="1" t="str">
        <f>'Imputed Data'!D39</f>
        <v>February</v>
      </c>
      <c r="E39" s="7">
        <f>('Imputed Data'!E39-'Imputed Data'!E38)/'Imputed Data'!E38</f>
        <v>2.3790642347344283E-3</v>
      </c>
      <c r="F39" s="7">
        <f>('Imputed Data'!F39-'Imputed Data'!F38)/'Imputed Data'!F38</f>
        <v>7.4571215510808593E-4</v>
      </c>
      <c r="G39" s="7">
        <f>('Imputed Data'!G39-'Imputed Data'!G38)/'Imputed Data'!G38</f>
        <v>7.7760497667180657E-4</v>
      </c>
      <c r="H39" s="7">
        <f>('Imputed Data'!H39-'Imputed Data'!H38)/'Imputed Data'!H38</f>
        <v>3.0792917628945779E-3</v>
      </c>
      <c r="I39" s="7">
        <f>('Imputed Data'!I39-'Imputed Data'!I38)/'Imputed Data'!I38</f>
        <v>-6.0606060606060849E-3</v>
      </c>
      <c r="J39" s="7">
        <f>('Imputed Data'!J39-'Imputed Data'!J38)/'Imputed Data'!J38</f>
        <v>-6.3643595863166038E-3</v>
      </c>
      <c r="K39" s="7">
        <f>('Imputed Data'!K39-'Imputed Data'!K38)/'Imputed Data'!K38</f>
        <v>-7.9151943462897445E-2</v>
      </c>
      <c r="L39" s="7">
        <f>('Imputed Data'!L39-'Imputed Data'!L38)/'Imputed Data'!L38</f>
        <v>-1.9332161687170377E-2</v>
      </c>
      <c r="M39" s="7">
        <f>('Imputed Data'!M39-'Imputed Data'!M38)/'Imputed Data'!M38</f>
        <v>1.4373716632443443E-2</v>
      </c>
      <c r="N39" s="7">
        <f>('Imputed Data'!N39-'Imputed Data'!N38)/'Imputed Data'!N38</f>
        <v>5.2671181339352035E-3</v>
      </c>
      <c r="O39" s="7">
        <f>('Imputed Data'!O39-'Imputed Data'!O38)/'Imputed Data'!O38</f>
        <v>2.4449877750611013E-3</v>
      </c>
      <c r="P39" s="7">
        <f>('Imputed Data'!P39-'Imputed Data'!P38)/'Imputed Data'!P38</f>
        <v>3.6954915003695487E-3</v>
      </c>
      <c r="Q39" s="7">
        <f>('Imputed Data'!Q39-'Imputed Data'!Q38)/'Imputed Data'!Q38</f>
        <v>-1.0662604722010706E-2</v>
      </c>
      <c r="R39" s="7">
        <f>('Imputed Data'!R39-'Imputed Data'!R38)/'Imputed Data'!R38</f>
        <v>5.1775147928995345E-3</v>
      </c>
      <c r="S39" s="7">
        <f>('Imputed Data'!S39-'Imputed Data'!S38)/'Imputed Data'!S38</f>
        <v>4.6047582501918208E-3</v>
      </c>
      <c r="T39" s="7">
        <f>('Imputed Data'!T39-'Imputed Data'!T38)/'Imputed Data'!T38</f>
        <v>5.5955235811351147E-3</v>
      </c>
      <c r="U39" s="7">
        <f>('Imputed Data'!U39-'Imputed Data'!U38)/'Imputed Data'!U38</f>
        <v>5.4054054054053172E-3</v>
      </c>
      <c r="V39" s="7">
        <f>('Imputed Data'!V39-'Imputed Data'!V38)/'Imputed Data'!V38</f>
        <v>8.1037277147487843E-3</v>
      </c>
      <c r="W39" s="7">
        <f>('Imputed Data'!W39-'Imputed Data'!W38)/'Imputed Data'!W38</f>
        <v>3.25998370008143E-3</v>
      </c>
      <c r="X39" s="7">
        <f>('Imputed Data'!X39-'Imputed Data'!X38)/'Imputed Data'!X38</f>
        <v>3.2206119162640216E-3</v>
      </c>
      <c r="Y39" s="7">
        <f>('Imputed Data'!Y39-'Imputed Data'!Y38)/'Imputed Data'!Y38</f>
        <v>4.0983606557377051E-3</v>
      </c>
      <c r="Z39" s="7">
        <f>('Imputed Data'!Z39-'Imputed Data'!Z38)/'Imputed Data'!Z38</f>
        <v>2.7002700270028026E-3</v>
      </c>
      <c r="AA39" s="7">
        <f>('Imputed Data'!AA39-'Imputed Data'!AA38)/'Imputed Data'!AA38</f>
        <v>4.1736227045075123E-3</v>
      </c>
      <c r="AB39" s="7">
        <f>('Imputed Data'!AB39-'Imputed Data'!AB38)/'Imputed Data'!AB38</f>
        <v>2.3752969121139918E-3</v>
      </c>
      <c r="AC39" s="7">
        <f>('Imputed Data'!AC39-'Imputed Data'!AC38)/'Imputed Data'!AC38</f>
        <v>1.834061135371174E-2</v>
      </c>
      <c r="AD39" s="7">
        <f>('Imputed Data'!AD39-'Imputed Data'!AD38)/'Imputed Data'!AD38</f>
        <v>5.0632911392404587E-3</v>
      </c>
      <c r="AE39" s="7">
        <f>('Imputed Data'!AE39-'Imputed Data'!AE38)/'Imputed Data'!AE38</f>
        <v>-2.3752969121139918E-3</v>
      </c>
    </row>
    <row r="40" spans="1:31" x14ac:dyDescent="0.25">
      <c r="A40" s="1">
        <f>'Imputed Data'!A40</f>
        <v>42430</v>
      </c>
      <c r="B40" s="1" t="str">
        <f>'Imputed Data'!B40</f>
        <v>Rural+Urban</v>
      </c>
      <c r="C40" s="2">
        <f>'Imputed Data'!C40</f>
        <v>2016</v>
      </c>
      <c r="D40" s="1" t="str">
        <f>'Imputed Data'!D40</f>
        <v>March</v>
      </c>
      <c r="E40" s="7">
        <f>('Imputed Data'!E40-'Imputed Data'!E39)/'Imputed Data'!E39</f>
        <v>7.9113924050628411E-4</v>
      </c>
      <c r="F40" s="7">
        <f>('Imputed Data'!F40-'Imputed Data'!F39)/'Imputed Data'!F39</f>
        <v>6.706408345752651E-3</v>
      </c>
      <c r="G40" s="7">
        <f>('Imputed Data'!G40-'Imputed Data'!G39)/'Imputed Data'!G39</f>
        <v>-3.1857031857031815E-2</v>
      </c>
      <c r="H40" s="7">
        <f>('Imputed Data'!H40-'Imputed Data'!H39)/'Imputed Data'!H39</f>
        <v>-7.6745970836548526E-4</v>
      </c>
      <c r="I40" s="7">
        <f>('Imputed Data'!I40-'Imputed Data'!I39)/'Imputed Data'!I39</f>
        <v>-2.6132404181184424E-3</v>
      </c>
      <c r="J40" s="7">
        <f>('Imputed Data'!J40-'Imputed Data'!J39)/'Imputed Data'!J39</f>
        <v>1.0408326661329041E-2</v>
      </c>
      <c r="K40" s="7">
        <f>('Imputed Data'!K40-'Imputed Data'!K39)/'Imputed Data'!K39</f>
        <v>-3.8372985418265539E-3</v>
      </c>
      <c r="L40" s="7">
        <f>('Imputed Data'!L40-'Imputed Data'!L39)/'Imputed Data'!L39</f>
        <v>-1.8518518518518483E-2</v>
      </c>
      <c r="M40" s="7">
        <f>('Imputed Data'!M40-'Imputed Data'!M39)/'Imputed Data'!M39</f>
        <v>2.1255060728745025E-2</v>
      </c>
      <c r="N40" s="7">
        <f>('Imputed Data'!N40-'Imputed Data'!N39)/'Imputed Data'!N39</f>
        <v>2.2455089820360135E-3</v>
      </c>
      <c r="O40" s="7">
        <f>('Imputed Data'!O40-'Imputed Data'!O39)/'Imputed Data'!O39</f>
        <v>8.1300813008125463E-4</v>
      </c>
      <c r="P40" s="7">
        <f>('Imputed Data'!P40-'Imputed Data'!P39)/'Imputed Data'!P39</f>
        <v>3.6818851251840938E-3</v>
      </c>
      <c r="Q40" s="7">
        <f>('Imputed Data'!Q40-'Imputed Data'!Q39)/'Imputed Data'!Q39</f>
        <v>-7.6982294072358982E-4</v>
      </c>
      <c r="R40" s="7">
        <f>('Imputed Data'!R40-'Imputed Data'!R39)/'Imputed Data'!R39</f>
        <v>4.4150110375275522E-3</v>
      </c>
      <c r="S40" s="7">
        <f>('Imputed Data'!S40-'Imputed Data'!S39)/'Imputed Data'!S39</f>
        <v>3.0557677616501579E-3</v>
      </c>
      <c r="T40" s="7">
        <f>('Imputed Data'!T40-'Imputed Data'!T39)/'Imputed Data'!T39</f>
        <v>2.3847376788553032E-3</v>
      </c>
      <c r="U40" s="7">
        <f>('Imputed Data'!U40-'Imputed Data'!U39)/'Imputed Data'!U39</f>
        <v>2.3041474654378756E-3</v>
      </c>
      <c r="V40" s="7">
        <f>('Imputed Data'!V40-'Imputed Data'!V39)/'Imputed Data'!V39</f>
        <v>4.0192926045016075E-3</v>
      </c>
      <c r="W40" s="7">
        <f>('Imputed Data'!W40-'Imputed Data'!W39)/'Imputed Data'!W39</f>
        <v>-5.6864337936635961E-3</v>
      </c>
      <c r="X40" s="7">
        <f>('Imputed Data'!X40-'Imputed Data'!X39)/'Imputed Data'!X39</f>
        <v>4.0128410914927774E-3</v>
      </c>
      <c r="Y40" s="7">
        <f>('Imputed Data'!Y40-'Imputed Data'!Y39)/'Imputed Data'!Y39</f>
        <v>3.2653061224490261E-3</v>
      </c>
      <c r="Z40" s="7">
        <f>('Imputed Data'!Z40-'Imputed Data'!Z39)/'Imputed Data'!Z39</f>
        <v>-4.4883303411131061E-3</v>
      </c>
      <c r="AA40" s="7">
        <f>('Imputed Data'!AA40-'Imputed Data'!AA39)/'Imputed Data'!AA39</f>
        <v>2.4937655860348892E-3</v>
      </c>
      <c r="AB40" s="7">
        <f>('Imputed Data'!AB40-'Imputed Data'!AB39)/'Imputed Data'!AB39</f>
        <v>2.3696682464455876E-3</v>
      </c>
      <c r="AC40" s="7">
        <f>('Imputed Data'!AC40-'Imputed Data'!AC39)/'Imputed Data'!AC39</f>
        <v>6.0034305317324434E-3</v>
      </c>
      <c r="AD40" s="7">
        <f>('Imputed Data'!AD40-'Imputed Data'!AD39)/'Imputed Data'!AD39</f>
        <v>1.6792611251049778E-3</v>
      </c>
      <c r="AE40" s="7">
        <f>('Imputed Data'!AE40-'Imputed Data'!AE39)/'Imputed Data'!AE39</f>
        <v>0</v>
      </c>
    </row>
    <row r="41" spans="1:31" x14ac:dyDescent="0.25">
      <c r="A41" s="1">
        <f>'Imputed Data'!A41</f>
        <v>42461</v>
      </c>
      <c r="B41" s="1" t="str">
        <f>'Imputed Data'!B41</f>
        <v>Rural+Urban</v>
      </c>
      <c r="C41" s="2">
        <f>'Imputed Data'!C41</f>
        <v>2016</v>
      </c>
      <c r="D41" s="1" t="str">
        <f>'Imputed Data'!D41</f>
        <v>April</v>
      </c>
      <c r="E41" s="7">
        <f>('Imputed Data'!E41-'Imputed Data'!E40)/'Imputed Data'!E40</f>
        <v>7.9051383399204997E-4</v>
      </c>
      <c r="F41" s="7">
        <f>('Imputed Data'!F41-'Imputed Data'!F40)/'Imputed Data'!F40</f>
        <v>1.258327165062929E-2</v>
      </c>
      <c r="G41" s="7">
        <f>('Imputed Data'!G41-'Imputed Data'!G40)/'Imputed Data'!G40</f>
        <v>-2.0866773675762396E-2</v>
      </c>
      <c r="H41" s="7">
        <f>('Imputed Data'!H41-'Imputed Data'!H40)/'Imputed Data'!H40</f>
        <v>5.3763440860216368E-3</v>
      </c>
      <c r="I41" s="7">
        <f>('Imputed Data'!I41-'Imputed Data'!I40)/'Imputed Data'!I40</f>
        <v>2.6200873362445167E-3</v>
      </c>
      <c r="J41" s="7">
        <f>('Imputed Data'!J41-'Imputed Data'!J40)/'Imputed Data'!J40</f>
        <v>6.8145800316957272E-2</v>
      </c>
      <c r="K41" s="7">
        <f>('Imputed Data'!K41-'Imputed Data'!K40)/'Imputed Data'!K40</f>
        <v>4.0061633281972174E-2</v>
      </c>
      <c r="L41" s="7">
        <f>('Imputed Data'!L41-'Imputed Data'!L40)/'Imputed Data'!L40</f>
        <v>1.9476567255021233E-2</v>
      </c>
      <c r="M41" s="7">
        <f>('Imputed Data'!M41-'Imputed Data'!M40)/'Imputed Data'!M40</f>
        <v>5.4509415262636272E-2</v>
      </c>
      <c r="N41" s="7">
        <f>('Imputed Data'!N41-'Imputed Data'!N40)/'Imputed Data'!N40</f>
        <v>3.7341299477221808E-3</v>
      </c>
      <c r="O41" s="7">
        <f>('Imputed Data'!O41-'Imputed Data'!O40)/'Imputed Data'!O40</f>
        <v>4.0617384240454919E-3</v>
      </c>
      <c r="P41" s="7">
        <f>('Imputed Data'!P41-'Imputed Data'!P40)/'Imputed Data'!P40</f>
        <v>2.9347028613351226E-3</v>
      </c>
      <c r="Q41" s="7">
        <f>('Imputed Data'!Q41-'Imputed Data'!Q40)/'Imputed Data'!Q40</f>
        <v>1.5408320493066254E-2</v>
      </c>
      <c r="R41" s="7">
        <f>('Imputed Data'!R41-'Imputed Data'!R40)/'Imputed Data'!R40</f>
        <v>4.395604395604354E-3</v>
      </c>
      <c r="S41" s="7">
        <f>('Imputed Data'!S41-'Imputed Data'!S40)/'Imputed Data'!S40</f>
        <v>3.8080731150038076E-3</v>
      </c>
      <c r="T41" s="7">
        <f>('Imputed Data'!T41-'Imputed Data'!T40)/'Imputed Data'!T40</f>
        <v>2.3790642347344283E-3</v>
      </c>
      <c r="U41" s="7">
        <f>('Imputed Data'!U41-'Imputed Data'!U40)/'Imputed Data'!U40</f>
        <v>3.8314176245210726E-3</v>
      </c>
      <c r="V41" s="7">
        <f>('Imputed Data'!V41-'Imputed Data'!V40)/'Imputed Data'!V40</f>
        <v>5.6044835868694041E-3</v>
      </c>
      <c r="W41" s="7">
        <f>('Imputed Data'!W41-'Imputed Data'!W40)/'Imputed Data'!W40</f>
        <v>-8.1699346405235721E-4</v>
      </c>
      <c r="X41" s="7">
        <f>('Imputed Data'!X41-'Imputed Data'!X40)/'Imputed Data'!X40</f>
        <v>3.1974420463629551E-3</v>
      </c>
      <c r="Y41" s="7">
        <f>('Imputed Data'!Y41-'Imputed Data'!Y40)/'Imputed Data'!Y40</f>
        <v>2.441008950366128E-3</v>
      </c>
      <c r="Z41" s="7">
        <f>('Imputed Data'!Z41-'Imputed Data'!Z40)/'Imputed Data'!Z40</f>
        <v>1.0820559062218111E-2</v>
      </c>
      <c r="AA41" s="7">
        <f>('Imputed Data'!AA41-'Imputed Data'!AA40)/'Imputed Data'!AA40</f>
        <v>4.1459369817578775E-3</v>
      </c>
      <c r="AB41" s="7">
        <f>('Imputed Data'!AB41-'Imputed Data'!AB40)/'Imputed Data'!AB40</f>
        <v>6.3041765169424514E-3</v>
      </c>
      <c r="AC41" s="7">
        <f>('Imputed Data'!AC41-'Imputed Data'!AC40)/'Imputed Data'!AC40</f>
        <v>6.8201193520886372E-3</v>
      </c>
      <c r="AD41" s="7">
        <f>('Imputed Data'!AD41-'Imputed Data'!AD40)/'Imputed Data'!AD40</f>
        <v>5.8675607711651543E-3</v>
      </c>
      <c r="AE41" s="7">
        <f>('Imputed Data'!AE41-'Imputed Data'!AE40)/'Imputed Data'!AE40</f>
        <v>1.0317460317460295E-2</v>
      </c>
    </row>
    <row r="42" spans="1:31" x14ac:dyDescent="0.25">
      <c r="A42" s="1">
        <f>'Imputed Data'!A42</f>
        <v>42491</v>
      </c>
      <c r="B42" s="1" t="str">
        <f>'Imputed Data'!B42</f>
        <v>Rural+Urban</v>
      </c>
      <c r="C42" s="2">
        <f>'Imputed Data'!C42</f>
        <v>2016</v>
      </c>
      <c r="D42" s="1" t="str">
        <f>'Imputed Data'!D42</f>
        <v>May</v>
      </c>
      <c r="E42" s="7">
        <f>('Imputed Data'!E42-'Imputed Data'!E41)/'Imputed Data'!E41</f>
        <v>1.5797788309636876E-3</v>
      </c>
      <c r="F42" s="7">
        <f>('Imputed Data'!F42-'Imputed Data'!F41)/'Imputed Data'!F41</f>
        <v>1.6812865497075898E-2</v>
      </c>
      <c r="G42" s="7">
        <f>('Imputed Data'!G42-'Imputed Data'!G41)/'Imputed Data'!G41</f>
        <v>2.7868852459016439E-2</v>
      </c>
      <c r="H42" s="7">
        <f>('Imputed Data'!H42-'Imputed Data'!H41)/'Imputed Data'!H41</f>
        <v>6.111535523300099E-3</v>
      </c>
      <c r="I42" s="7">
        <f>('Imputed Data'!I42-'Imputed Data'!I41)/'Imputed Data'!I41</f>
        <v>1.7421602787456693E-3</v>
      </c>
      <c r="J42" s="7">
        <f>('Imputed Data'!J42-'Imputed Data'!J41)/'Imputed Data'!J41</f>
        <v>8.9020771513352269E-3</v>
      </c>
      <c r="K42" s="7">
        <f>('Imputed Data'!K42-'Imputed Data'!K41)/'Imputed Data'!K41</f>
        <v>7.4814814814814778E-2</v>
      </c>
      <c r="L42" s="7">
        <f>('Imputed Data'!L42-'Imputed Data'!L41)/'Imputed Data'!L41</f>
        <v>2.5074626865671575E-2</v>
      </c>
      <c r="M42" s="7">
        <f>('Imputed Data'!M42-'Imputed Data'!M41)/'Imputed Data'!M41</f>
        <v>2.161654135338343E-2</v>
      </c>
      <c r="N42" s="7">
        <f>('Imputed Data'!N42-'Imputed Data'!N41)/'Imputed Data'!N41</f>
        <v>6.6964285714286136E-3</v>
      </c>
      <c r="O42" s="7">
        <f>('Imputed Data'!O42-'Imputed Data'!O41)/'Imputed Data'!O41</f>
        <v>4.8543689320389039E-3</v>
      </c>
      <c r="P42" s="7">
        <f>('Imputed Data'!P42-'Imputed Data'!P41)/'Imputed Data'!P41</f>
        <v>5.1207022677397006E-3</v>
      </c>
      <c r="Q42" s="7">
        <f>('Imputed Data'!Q42-'Imputed Data'!Q41)/'Imputed Data'!Q41</f>
        <v>1.6691957511380792E-2</v>
      </c>
      <c r="R42" s="7">
        <f>('Imputed Data'!R42-'Imputed Data'!R41)/'Imputed Data'!R41</f>
        <v>4.376367614879609E-3</v>
      </c>
      <c r="S42" s="7">
        <f>('Imputed Data'!S42-'Imputed Data'!S41)/'Imputed Data'!S41</f>
        <v>3.0349013657054416E-3</v>
      </c>
      <c r="T42" s="7">
        <f>('Imputed Data'!T42-'Imputed Data'!T41)/'Imputed Data'!T41</f>
        <v>3.1645569620252488E-3</v>
      </c>
      <c r="U42" s="7">
        <f>('Imputed Data'!U42-'Imputed Data'!U41)/'Imputed Data'!U41</f>
        <v>3.0534351145038601E-3</v>
      </c>
      <c r="V42" s="7">
        <f>('Imputed Data'!V42-'Imputed Data'!V41)/'Imputed Data'!V41</f>
        <v>3.1847133757962236E-3</v>
      </c>
      <c r="W42" s="7">
        <f>('Imputed Data'!W42-'Imputed Data'!W41)/'Imputed Data'!W41</f>
        <v>3.2706459525756802E-3</v>
      </c>
      <c r="X42" s="7">
        <f>('Imputed Data'!X42-'Imputed Data'!X41)/'Imputed Data'!X41</f>
        <v>3.9840637450199202E-3</v>
      </c>
      <c r="Y42" s="7">
        <f>('Imputed Data'!Y42-'Imputed Data'!Y41)/'Imputed Data'!Y41</f>
        <v>4.0584415584415581E-3</v>
      </c>
      <c r="Z42" s="7">
        <f>('Imputed Data'!Z42-'Imputed Data'!Z41)/'Imputed Data'!Z41</f>
        <v>6.2444246208742454E-3</v>
      </c>
      <c r="AA42" s="7">
        <f>('Imputed Data'!AA42-'Imputed Data'!AA41)/'Imputed Data'!AA41</f>
        <v>3.3030553261767606E-3</v>
      </c>
      <c r="AB42" s="7">
        <f>('Imputed Data'!AB42-'Imputed Data'!AB41)/'Imputed Data'!AB41</f>
        <v>6.2646828504306744E-3</v>
      </c>
      <c r="AC42" s="7">
        <f>('Imputed Data'!AC42-'Imputed Data'!AC41)/'Imputed Data'!AC41</f>
        <v>9.3141405588485059E-3</v>
      </c>
      <c r="AD42" s="7">
        <f>('Imputed Data'!AD42-'Imputed Data'!AD41)/'Imputed Data'!AD41</f>
        <v>5.833333333333357E-3</v>
      </c>
      <c r="AE42" s="7">
        <f>('Imputed Data'!AE42-'Imputed Data'!AE41)/'Imputed Data'!AE41</f>
        <v>1.0212097407698328E-2</v>
      </c>
    </row>
    <row r="43" spans="1:31" x14ac:dyDescent="0.25">
      <c r="A43" s="1">
        <f>'Imputed Data'!A43</f>
        <v>42522</v>
      </c>
      <c r="B43" s="1" t="str">
        <f>'Imputed Data'!B43</f>
        <v>Rural+Urban</v>
      </c>
      <c r="C43" s="2">
        <f>'Imputed Data'!C43</f>
        <v>2016</v>
      </c>
      <c r="D43" s="1" t="str">
        <f>'Imputed Data'!D43</f>
        <v>June</v>
      </c>
      <c r="E43" s="7">
        <f>('Imputed Data'!E43-'Imputed Data'!E42)/'Imputed Data'!E42</f>
        <v>7.0977917981073007E-3</v>
      </c>
      <c r="F43" s="7">
        <f>('Imputed Data'!F43-'Imputed Data'!F42)/'Imputed Data'!F42</f>
        <v>1.0064701653486741E-2</v>
      </c>
      <c r="G43" s="7">
        <f>('Imputed Data'!G43-'Imputed Data'!G42)/'Imputed Data'!G42</f>
        <v>2.312599681020738E-2</v>
      </c>
      <c r="H43" s="7">
        <f>('Imputed Data'!H43-'Imputed Data'!H42)/'Imputed Data'!H42</f>
        <v>6.8337129840547132E-3</v>
      </c>
      <c r="I43" s="7">
        <f>('Imputed Data'!I43-'Imputed Data'!I42)/'Imputed Data'!I42</f>
        <v>4.3478260869565218E-3</v>
      </c>
      <c r="J43" s="7">
        <f>('Imputed Data'!J43-'Imputed Data'!J42)/'Imputed Data'!J42</f>
        <v>3.6764705882352941E-3</v>
      </c>
      <c r="K43" s="7">
        <f>('Imputed Data'!K43-'Imputed Data'!K42)/'Imputed Data'!K42</f>
        <v>0.10062026188835282</v>
      </c>
      <c r="L43" s="7">
        <f>('Imputed Data'!L43-'Imputed Data'!L42)/'Imputed Data'!L42</f>
        <v>1.5142690739662335E-2</v>
      </c>
      <c r="M43" s="7">
        <f>('Imputed Data'!M43-'Imputed Data'!M42)/'Imputed Data'!M42</f>
        <v>1.1039558417663319E-2</v>
      </c>
      <c r="N43" s="7">
        <f>('Imputed Data'!N43-'Imputed Data'!N42)/'Imputed Data'!N42</f>
        <v>7.3909830007390974E-3</v>
      </c>
      <c r="O43" s="7">
        <f>('Imputed Data'!O43-'Imputed Data'!O42)/'Imputed Data'!O42</f>
        <v>1.6103059581320679E-3</v>
      </c>
      <c r="P43" s="7">
        <f>('Imputed Data'!P43-'Imputed Data'!P42)/'Imputed Data'!P42</f>
        <v>5.0946142649198585E-3</v>
      </c>
      <c r="Q43" s="7">
        <f>('Imputed Data'!Q43-'Imputed Data'!Q42)/'Imputed Data'!Q42</f>
        <v>2.0895522388059785E-2</v>
      </c>
      <c r="R43" s="7">
        <f>('Imputed Data'!R43-'Imputed Data'!R42)/'Imputed Data'!R42</f>
        <v>7.2621641249092234E-3</v>
      </c>
      <c r="S43" s="7">
        <f>('Imputed Data'!S43-'Imputed Data'!S42)/'Imputed Data'!S42</f>
        <v>5.2950075642966502E-3</v>
      </c>
      <c r="T43" s="7">
        <f>('Imputed Data'!T43-'Imputed Data'!T42)/'Imputed Data'!T42</f>
        <v>3.1545741324921586E-3</v>
      </c>
      <c r="U43" s="7">
        <f>('Imputed Data'!U43-'Imputed Data'!U42)/'Imputed Data'!U42</f>
        <v>4.5662100456620568E-3</v>
      </c>
      <c r="V43" s="7">
        <f>('Imputed Data'!V43-'Imputed Data'!V42)/'Imputed Data'!V42</f>
        <v>-3.968253968253968E-3</v>
      </c>
      <c r="W43" s="7">
        <f>('Imputed Data'!W43-'Imputed Data'!W42)/'Imputed Data'!W42</f>
        <v>4.8899755501222025E-3</v>
      </c>
      <c r="X43" s="7">
        <f>('Imputed Data'!X43-'Imputed Data'!X42)/'Imputed Data'!X42</f>
        <v>3.1746031746032197E-3</v>
      </c>
      <c r="Y43" s="7">
        <f>('Imputed Data'!Y43-'Imputed Data'!Y42)/'Imputed Data'!Y42</f>
        <v>3.2336297493936253E-3</v>
      </c>
      <c r="Z43" s="7">
        <f>('Imputed Data'!Z43-'Imputed Data'!Z42)/'Imputed Data'!Z42</f>
        <v>1.2411347517730547E-2</v>
      </c>
      <c r="AA43" s="7">
        <f>('Imputed Data'!AA43-'Imputed Data'!AA42)/'Imputed Data'!AA42</f>
        <v>1.6460905349794473E-3</v>
      </c>
      <c r="AB43" s="7">
        <f>('Imputed Data'!AB43-'Imputed Data'!AB42)/'Imputed Data'!AB42</f>
        <v>9.3385214007781214E-3</v>
      </c>
      <c r="AC43" s="7">
        <f>('Imputed Data'!AC43-'Imputed Data'!AC42)/'Imputed Data'!AC42</f>
        <v>1.6778523489933124E-3</v>
      </c>
      <c r="AD43" s="7">
        <f>('Imputed Data'!AD43-'Imputed Data'!AD42)/'Imputed Data'!AD42</f>
        <v>6.6280033140016332E-3</v>
      </c>
      <c r="AE43" s="7">
        <f>('Imputed Data'!AE43-'Imputed Data'!AE42)/'Imputed Data'!AE42</f>
        <v>1.1664074650077761E-2</v>
      </c>
    </row>
    <row r="44" spans="1:31" x14ac:dyDescent="0.25">
      <c r="A44" s="1">
        <f>'Imputed Data'!A44</f>
        <v>42552</v>
      </c>
      <c r="B44" s="1" t="str">
        <f>'Imputed Data'!B44</f>
        <v>Rural+Urban</v>
      </c>
      <c r="C44" s="2">
        <f>'Imputed Data'!C44</f>
        <v>2016</v>
      </c>
      <c r="D44" s="1" t="str">
        <f>'Imputed Data'!D44</f>
        <v>July</v>
      </c>
      <c r="E44" s="7">
        <f>('Imputed Data'!E44-'Imputed Data'!E43)/'Imputed Data'!E43</f>
        <v>6.2646828504306744E-3</v>
      </c>
      <c r="F44" s="7">
        <f>('Imputed Data'!F44-'Imputed Data'!F43)/'Imputed Data'!F43</f>
        <v>4.9822064056938694E-3</v>
      </c>
      <c r="G44" s="7">
        <f>('Imputed Data'!G44-'Imputed Data'!G43)/'Imputed Data'!G43</f>
        <v>3.1176929072486356E-2</v>
      </c>
      <c r="H44" s="7">
        <f>('Imputed Data'!H44-'Imputed Data'!H43)/'Imputed Data'!H43</f>
        <v>6.787330316742125E-3</v>
      </c>
      <c r="I44" s="7">
        <f>('Imputed Data'!I44-'Imputed Data'!I43)/'Imputed Data'!I43</f>
        <v>7.7922077922078416E-3</v>
      </c>
      <c r="J44" s="7">
        <f>('Imputed Data'!J44-'Imputed Data'!J43)/'Imputed Data'!J43</f>
        <v>9.5238095238096079E-3</v>
      </c>
      <c r="K44" s="7">
        <f>('Imputed Data'!K44-'Imputed Data'!K43)/'Imputed Data'!K43</f>
        <v>3.5691922354414637E-2</v>
      </c>
      <c r="L44" s="7">
        <f>('Imputed Data'!L44-'Imputed Data'!L43)/'Imputed Data'!L43</f>
        <v>1.7785427423981606E-2</v>
      </c>
      <c r="M44" s="7">
        <f>('Imputed Data'!M44-'Imputed Data'!M43)/'Imputed Data'!M43</f>
        <v>1.2738853503184636E-2</v>
      </c>
      <c r="N44" s="7">
        <f>('Imputed Data'!N44-'Imputed Data'!N43)/'Imputed Data'!N43</f>
        <v>8.8041085840057844E-3</v>
      </c>
      <c r="O44" s="7">
        <f>('Imputed Data'!O44-'Imputed Data'!O43)/'Imputed Data'!O43</f>
        <v>4.8231511254018837E-3</v>
      </c>
      <c r="P44" s="7">
        <f>('Imputed Data'!P44-'Imputed Data'!P43)/'Imputed Data'!P43</f>
        <v>5.0687907313542151E-3</v>
      </c>
      <c r="Q44" s="7">
        <f>('Imputed Data'!Q44-'Imputed Data'!Q43)/'Imputed Data'!Q43</f>
        <v>1.1695906432748496E-2</v>
      </c>
      <c r="R44" s="7">
        <f>('Imputed Data'!R44-'Imputed Data'!R43)/'Imputed Data'!R43</f>
        <v>4.3258832011537334E-3</v>
      </c>
      <c r="S44" s="7">
        <f>('Imputed Data'!S44-'Imputed Data'!S43)/'Imputed Data'!S43</f>
        <v>4.5146726862302054E-3</v>
      </c>
      <c r="T44" s="7">
        <f>('Imputed Data'!T44-'Imputed Data'!T43)/'Imputed Data'!T43</f>
        <v>3.1446540880502474E-3</v>
      </c>
      <c r="U44" s="7">
        <f>('Imputed Data'!U44-'Imputed Data'!U43)/'Imputed Data'!U43</f>
        <v>5.3030303030302166E-3</v>
      </c>
      <c r="V44" s="7">
        <f>('Imputed Data'!V44-'Imputed Data'!V43)/'Imputed Data'!V43</f>
        <v>7.1713147410359017E-3</v>
      </c>
      <c r="W44" s="7">
        <f>('Imputed Data'!W44-'Imputed Data'!W43)/'Imputed Data'!W43</f>
        <v>8.1103000811036927E-4</v>
      </c>
      <c r="X44" s="7">
        <f>('Imputed Data'!X44-'Imputed Data'!X43)/'Imputed Data'!X43</f>
        <v>3.955696202531645E-3</v>
      </c>
      <c r="Y44" s="7">
        <f>('Imputed Data'!Y44-'Imputed Data'!Y43)/'Imputed Data'!Y43</f>
        <v>3.2232070910556462E-3</v>
      </c>
      <c r="Z44" s="7">
        <f>('Imputed Data'!Z44-'Imputed Data'!Z43)/'Imputed Data'!Z43</f>
        <v>-2.6269702276707279E-3</v>
      </c>
      <c r="AA44" s="7">
        <f>('Imputed Data'!AA44-'Imputed Data'!AA43)/'Imputed Data'!AA43</f>
        <v>5.7518488085456275E-3</v>
      </c>
      <c r="AB44" s="7">
        <f>('Imputed Data'!AB44-'Imputed Data'!AB43)/'Imputed Data'!AB43</f>
        <v>8.481110254433483E-3</v>
      </c>
      <c r="AC44" s="7">
        <f>('Imputed Data'!AC44-'Imputed Data'!AC43)/'Imputed Data'!AC43</f>
        <v>9.2127303182579084E-3</v>
      </c>
      <c r="AD44" s="7">
        <f>('Imputed Data'!AD44-'Imputed Data'!AD43)/'Imputed Data'!AD43</f>
        <v>3.2921810699588945E-3</v>
      </c>
      <c r="AE44" s="7">
        <f>('Imputed Data'!AE44-'Imputed Data'!AE43)/'Imputed Data'!AE43</f>
        <v>7.6863950807071488E-3</v>
      </c>
    </row>
    <row r="45" spans="1:31" x14ac:dyDescent="0.25">
      <c r="A45" s="1">
        <f>'Imputed Data'!A45</f>
        <v>42583</v>
      </c>
      <c r="B45" s="1" t="str">
        <f>'Imputed Data'!B45</f>
        <v>Rural+Urban</v>
      </c>
      <c r="C45" s="2">
        <f>'Imputed Data'!C45</f>
        <v>2016</v>
      </c>
      <c r="D45" s="1" t="str">
        <f>'Imputed Data'!D45</f>
        <v>August</v>
      </c>
      <c r="E45" s="7">
        <f>('Imputed Data'!E45-'Imputed Data'!E44)/'Imputed Data'!E44</f>
        <v>6.225680933852229E-3</v>
      </c>
      <c r="F45" s="7">
        <f>('Imputed Data'!F45-'Imputed Data'!F44)/'Imputed Data'!F44</f>
        <v>-1.3456090651557914E-2</v>
      </c>
      <c r="G45" s="7">
        <f>('Imputed Data'!G45-'Imputed Data'!G44)/'Imputed Data'!G44</f>
        <v>-5.2910052910054191E-3</v>
      </c>
      <c r="H45" s="7">
        <f>('Imputed Data'!H45-'Imputed Data'!H44)/'Imputed Data'!H44</f>
        <v>4.4943820224718671E-3</v>
      </c>
      <c r="I45" s="7">
        <f>('Imputed Data'!I45-'Imputed Data'!I44)/'Imputed Data'!I44</f>
        <v>4.2955326460481094E-3</v>
      </c>
      <c r="J45" s="7">
        <f>('Imputed Data'!J45-'Imputed Data'!J44)/'Imputed Data'!J44</f>
        <v>2.1770682148039401E-3</v>
      </c>
      <c r="K45" s="7">
        <f>('Imputed Data'!K45-'Imputed Data'!K44)/'Imputed Data'!K44</f>
        <v>-3.8089480048367659E-2</v>
      </c>
      <c r="L45" s="7">
        <f>('Imputed Data'!L45-'Imputed Data'!L44)/'Imputed Data'!L44</f>
        <v>-1.014656144306658E-2</v>
      </c>
      <c r="M45" s="7">
        <f>('Imputed Data'!M45-'Imputed Data'!M44)/'Imputed Data'!M44</f>
        <v>1.4375561545372943E-2</v>
      </c>
      <c r="N45" s="7">
        <f>('Imputed Data'!N45-'Imputed Data'!N44)/'Imputed Data'!N44</f>
        <v>4.3636363636363222E-3</v>
      </c>
      <c r="O45" s="7">
        <f>('Imputed Data'!O45-'Imputed Data'!O44)/'Imputed Data'!O44</f>
        <v>4.0000000000000001E-3</v>
      </c>
      <c r="P45" s="7">
        <f>('Imputed Data'!P45-'Imputed Data'!P44)/'Imputed Data'!P44</f>
        <v>5.0432276657059695E-3</v>
      </c>
      <c r="Q45" s="7">
        <f>('Imputed Data'!Q45-'Imputed Data'!Q44)/'Imputed Data'!Q44</f>
        <v>-3.6127167630057803E-3</v>
      </c>
      <c r="R45" s="7">
        <f>('Imputed Data'!R45-'Imputed Data'!R44)/'Imputed Data'!R44</f>
        <v>6.4608758076093124E-3</v>
      </c>
      <c r="S45" s="7">
        <f>('Imputed Data'!S45-'Imputed Data'!S44)/'Imputed Data'!S44</f>
        <v>4.4943820224718671E-3</v>
      </c>
      <c r="T45" s="7">
        <f>('Imputed Data'!T45-'Imputed Data'!T44)/'Imputed Data'!T44</f>
        <v>4.7021943573667272E-3</v>
      </c>
      <c r="U45" s="7">
        <f>('Imputed Data'!U45-'Imputed Data'!U44)/'Imputed Data'!U44</f>
        <v>3.7678975131876418E-3</v>
      </c>
      <c r="V45" s="7">
        <f>('Imputed Data'!V45-'Imputed Data'!V44)/'Imputed Data'!V44</f>
        <v>7.1202531645568942E-3</v>
      </c>
      <c r="W45" s="7">
        <f>('Imputed Data'!W45-'Imputed Data'!W44)/'Imputed Data'!W44</f>
        <v>1.6207455429496647E-3</v>
      </c>
      <c r="X45" s="7">
        <f>('Imputed Data'!X45-'Imputed Data'!X44)/'Imputed Data'!X44</f>
        <v>3.9401103230890461E-3</v>
      </c>
      <c r="Y45" s="7">
        <f>('Imputed Data'!Y45-'Imputed Data'!Y44)/'Imputed Data'!Y44</f>
        <v>2.4096385542168447E-3</v>
      </c>
      <c r="Z45" s="7">
        <f>('Imputed Data'!Z45-'Imputed Data'!Z44)/'Imputed Data'!Z44</f>
        <v>-7.0237050043899154E-3</v>
      </c>
      <c r="AA45" s="7">
        <f>('Imputed Data'!AA45-'Imputed Data'!AA44)/'Imputed Data'!AA44</f>
        <v>2.4509803921568393E-3</v>
      </c>
      <c r="AB45" s="7">
        <f>('Imputed Data'!AB45-'Imputed Data'!AB44)/'Imputed Data'!AB44</f>
        <v>6.8807339449539536E-3</v>
      </c>
      <c r="AC45" s="7">
        <f>('Imputed Data'!AC45-'Imputed Data'!AC44)/'Imputed Data'!AC44</f>
        <v>8.2987551867219917E-3</v>
      </c>
      <c r="AD45" s="7">
        <f>('Imputed Data'!AD45-'Imputed Data'!AD44)/'Imputed Data'!AD44</f>
        <v>1.640689089417462E-3</v>
      </c>
      <c r="AE45" s="7">
        <f>('Imputed Data'!AE45-'Imputed Data'!AE44)/'Imputed Data'!AE44</f>
        <v>0</v>
      </c>
    </row>
    <row r="46" spans="1:31" x14ac:dyDescent="0.25">
      <c r="A46" s="1">
        <f>'Imputed Data'!A46</f>
        <v>42614</v>
      </c>
      <c r="B46" s="1" t="str">
        <f>'Imputed Data'!B46</f>
        <v>Rural+Urban</v>
      </c>
      <c r="C46" s="2">
        <f>'Imputed Data'!C46</f>
        <v>2016</v>
      </c>
      <c r="D46" s="1" t="str">
        <f>'Imputed Data'!D46</f>
        <v>September</v>
      </c>
      <c r="E46" s="7">
        <f>('Imputed Data'!E46-'Imputed Data'!E45)/'Imputed Data'!E45</f>
        <v>4.6403712296983314E-3</v>
      </c>
      <c r="F46" s="7">
        <f>('Imputed Data'!F46-'Imputed Data'!F45)/'Imputed Data'!F45</f>
        <v>-9.3323761665471024E-3</v>
      </c>
      <c r="G46" s="7">
        <f>('Imputed Data'!G46-'Imputed Data'!G45)/'Imputed Data'!G45</f>
        <v>-8.3586626139817207E-3</v>
      </c>
      <c r="H46" s="7">
        <f>('Imputed Data'!H46-'Imputed Data'!H45)/'Imputed Data'!H45</f>
        <v>2.2371364653244697E-3</v>
      </c>
      <c r="I46" s="7">
        <f>('Imputed Data'!I46-'Imputed Data'!I45)/'Imputed Data'!I45</f>
        <v>2.5662959794696075E-3</v>
      </c>
      <c r="J46" s="7">
        <f>('Imputed Data'!J46-'Imputed Data'!J45)/'Imputed Data'!J45</f>
        <v>-1.4482259232440261E-2</v>
      </c>
      <c r="K46" s="7">
        <f>('Imputed Data'!K46-'Imputed Data'!K45)/'Imputed Data'!K45</f>
        <v>-5.2796983029541208E-2</v>
      </c>
      <c r="L46" s="7">
        <f>('Imputed Data'!L46-'Imputed Data'!L45)/'Imputed Data'!L45</f>
        <v>-2.3348519362186758E-2</v>
      </c>
      <c r="M46" s="7">
        <f>('Imputed Data'!M46-'Imputed Data'!M45)/'Imputed Data'!M45</f>
        <v>7.9716563330380109E-3</v>
      </c>
      <c r="N46" s="7">
        <f>('Imputed Data'!N46-'Imputed Data'!N45)/'Imputed Data'!N45</f>
        <v>5.0687907313542151E-3</v>
      </c>
      <c r="O46" s="7">
        <f>('Imputed Data'!O46-'Imputed Data'!O45)/'Imputed Data'!O45</f>
        <v>3.9840637450199202E-3</v>
      </c>
      <c r="P46" s="7">
        <f>('Imputed Data'!P46-'Imputed Data'!P45)/'Imputed Data'!P45</f>
        <v>5.0179211469533235E-3</v>
      </c>
      <c r="Q46" s="7">
        <f>('Imputed Data'!Q46-'Imputed Data'!Q45)/'Imputed Data'!Q45</f>
        <v>-9.4271211022480886E-3</v>
      </c>
      <c r="R46" s="7">
        <f>('Imputed Data'!R46-'Imputed Data'!R45)/'Imputed Data'!R45</f>
        <v>5.7061340941512943E-3</v>
      </c>
      <c r="S46" s="7">
        <f>('Imputed Data'!S46-'Imputed Data'!S45)/'Imputed Data'!S45</f>
        <v>3.7285607755406414E-3</v>
      </c>
      <c r="T46" s="7">
        <f>('Imputed Data'!T46-'Imputed Data'!T45)/'Imputed Data'!T45</f>
        <v>3.1201248049922445E-3</v>
      </c>
      <c r="U46" s="7">
        <f>('Imputed Data'!U46-'Imputed Data'!U45)/'Imputed Data'!U45</f>
        <v>4.5045045045046753E-3</v>
      </c>
      <c r="V46" s="7">
        <f>('Imputed Data'!V46-'Imputed Data'!V45)/'Imputed Data'!V45</f>
        <v>4.713275726630075E-3</v>
      </c>
      <c r="W46" s="7">
        <f>('Imputed Data'!W46-'Imputed Data'!W45)/'Imputed Data'!W45</f>
        <v>4.0453074433656963E-3</v>
      </c>
      <c r="X46" s="7">
        <f>('Imputed Data'!X46-'Imputed Data'!X45)/'Imputed Data'!X45</f>
        <v>3.9246467817896386E-3</v>
      </c>
      <c r="Y46" s="7">
        <f>('Imputed Data'!Y46-'Imputed Data'!Y45)/'Imputed Data'!Y45</f>
        <v>4.8076923076923765E-3</v>
      </c>
      <c r="Z46" s="7">
        <f>('Imputed Data'!Z46-'Imputed Data'!Z45)/'Imputed Data'!Z45</f>
        <v>1.0610079575596842E-2</v>
      </c>
      <c r="AA46" s="7">
        <f>('Imputed Data'!AA46-'Imputed Data'!AA45)/'Imputed Data'!AA45</f>
        <v>1.6299918500407729E-3</v>
      </c>
      <c r="AB46" s="7">
        <f>('Imputed Data'!AB46-'Imputed Data'!AB45)/'Imputed Data'!AB45</f>
        <v>7.5930144267291383E-4</v>
      </c>
      <c r="AC46" s="7">
        <f>('Imputed Data'!AC46-'Imputed Data'!AC45)/'Imputed Data'!AC45</f>
        <v>4.9382716049382247E-3</v>
      </c>
      <c r="AD46" s="7">
        <f>('Imputed Data'!AD46-'Imputed Data'!AD45)/'Imputed Data'!AD45</f>
        <v>5.7330057330057561E-3</v>
      </c>
      <c r="AE46" s="7">
        <f>('Imputed Data'!AE46-'Imputed Data'!AE45)/'Imputed Data'!AE45</f>
        <v>-1.5255530129671139E-3</v>
      </c>
    </row>
    <row r="47" spans="1:31" x14ac:dyDescent="0.25">
      <c r="A47" s="1">
        <f>'Imputed Data'!A47</f>
        <v>42644</v>
      </c>
      <c r="B47" s="1" t="str">
        <f>'Imputed Data'!B47</f>
        <v>Rural+Urban</v>
      </c>
      <c r="C47" s="2">
        <f>'Imputed Data'!C47</f>
        <v>2016</v>
      </c>
      <c r="D47" s="1" t="str">
        <f>'Imputed Data'!D47</f>
        <v>October</v>
      </c>
      <c r="E47" s="7">
        <f>('Imputed Data'!E47-'Imputed Data'!E46)/'Imputed Data'!E46</f>
        <v>4.6189376443417571E-3</v>
      </c>
      <c r="F47" s="7">
        <f>('Imputed Data'!F47-'Imputed Data'!F46)/'Imputed Data'!F46</f>
        <v>-7.246376811593791E-4</v>
      </c>
      <c r="G47" s="7">
        <f>('Imputed Data'!G47-'Imputed Data'!G46)/'Imputed Data'!G46</f>
        <v>-2.2988505747127308E-3</v>
      </c>
      <c r="H47" s="7">
        <f>('Imputed Data'!H47-'Imputed Data'!H46)/'Imputed Data'!H46</f>
        <v>2.9761904761905185E-3</v>
      </c>
      <c r="I47" s="7">
        <f>('Imputed Data'!I47-'Imputed Data'!I46)/'Imputed Data'!I46</f>
        <v>5.119453924914627E-3</v>
      </c>
      <c r="J47" s="7">
        <f>('Imputed Data'!J47-'Imputed Data'!J46)/'Imputed Data'!J46</f>
        <v>-1.0286554004408565E-2</v>
      </c>
      <c r="K47" s="7">
        <f>('Imputed Data'!K47-'Imputed Data'!K46)/'Imputed Data'!K46</f>
        <v>3.3178500331785005E-3</v>
      </c>
      <c r="L47" s="7">
        <f>('Imputed Data'!L47-'Imputed Data'!L46)/'Imputed Data'!L46</f>
        <v>3.4985422740524451E-3</v>
      </c>
      <c r="M47" s="7">
        <f>('Imputed Data'!M47-'Imputed Data'!M46)/'Imputed Data'!M46</f>
        <v>2.6362038664323123E-3</v>
      </c>
      <c r="N47" s="7">
        <f>('Imputed Data'!N47-'Imputed Data'!N46)/'Imputed Data'!N46</f>
        <v>3.6023054755043226E-3</v>
      </c>
      <c r="O47" s="7">
        <f>('Imputed Data'!O47-'Imputed Data'!O46)/'Imputed Data'!O46</f>
        <v>7.9365079365074855E-4</v>
      </c>
      <c r="P47" s="7">
        <f>('Imputed Data'!P47-'Imputed Data'!P46)/'Imputed Data'!P46</f>
        <v>6.4194008559201555E-3</v>
      </c>
      <c r="Q47" s="7">
        <f>('Imputed Data'!Q47-'Imputed Data'!Q46)/'Imputed Data'!Q46</f>
        <v>2.9282576866764692E-3</v>
      </c>
      <c r="R47" s="7">
        <f>('Imputed Data'!R47-'Imputed Data'!R46)/'Imputed Data'!R46</f>
        <v>5.673758865248308E-3</v>
      </c>
      <c r="S47" s="7">
        <f>('Imputed Data'!S47-'Imputed Data'!S46)/'Imputed Data'!S46</f>
        <v>6.6864784546805771E-3</v>
      </c>
      <c r="T47" s="7">
        <f>('Imputed Data'!T47-'Imputed Data'!T46)/'Imputed Data'!T46</f>
        <v>3.8880248833592537E-3</v>
      </c>
      <c r="U47" s="7">
        <f>('Imputed Data'!U47-'Imputed Data'!U46)/'Imputed Data'!U46</f>
        <v>5.2316890881912445E-3</v>
      </c>
      <c r="V47" s="7">
        <f>('Imputed Data'!V47-'Imputed Data'!V46)/'Imputed Data'!V46</f>
        <v>6.2548866301796943E-3</v>
      </c>
      <c r="W47" s="7">
        <f>('Imputed Data'!W47-'Imputed Data'!W46)/'Imputed Data'!W46</f>
        <v>1.6116035455278231E-3</v>
      </c>
      <c r="X47" s="7">
        <f>('Imputed Data'!X47-'Imputed Data'!X46)/'Imputed Data'!X46</f>
        <v>3.9093041438623922E-3</v>
      </c>
      <c r="Y47" s="7">
        <f>('Imputed Data'!Y47-'Imputed Data'!Y46)/'Imputed Data'!Y46</f>
        <v>5.5821371610844384E-3</v>
      </c>
      <c r="Z47" s="7">
        <f>('Imputed Data'!Z47-'Imputed Data'!Z46)/'Imputed Data'!Z46</f>
        <v>7.8740157480315463E-3</v>
      </c>
      <c r="AA47" s="7">
        <f>('Imputed Data'!AA47-'Imputed Data'!AA46)/'Imputed Data'!AA46</f>
        <v>4.8820179007322559E-3</v>
      </c>
      <c r="AB47" s="7">
        <f>('Imputed Data'!AB47-'Imputed Data'!AB46)/'Imputed Data'!AB46</f>
        <v>4.5523520485583786E-3</v>
      </c>
      <c r="AC47" s="7">
        <f>('Imputed Data'!AC47-'Imputed Data'!AC46)/'Imputed Data'!AC46</f>
        <v>0</v>
      </c>
      <c r="AD47" s="7">
        <f>('Imputed Data'!AD47-'Imputed Data'!AD46)/'Imputed Data'!AD46</f>
        <v>4.8859934853420894E-3</v>
      </c>
      <c r="AE47" s="7">
        <f>('Imputed Data'!AE47-'Imputed Data'!AE46)/'Imputed Data'!AE46</f>
        <v>3.819709702062643E-3</v>
      </c>
    </row>
    <row r="48" spans="1:31" x14ac:dyDescent="0.25">
      <c r="A48" s="1">
        <f>'Imputed Data'!A48</f>
        <v>42675</v>
      </c>
      <c r="B48" s="1" t="str">
        <f>'Imputed Data'!B48</f>
        <v>Rural+Urban</v>
      </c>
      <c r="C48" s="2">
        <f>'Imputed Data'!C48</f>
        <v>2016</v>
      </c>
      <c r="D48" s="1" t="str">
        <f>'Imputed Data'!D48</f>
        <v>November</v>
      </c>
      <c r="E48" s="7">
        <f>('Imputed Data'!E48-'Imputed Data'!E47)/'Imputed Data'!E47</f>
        <v>6.8965517241379743E-3</v>
      </c>
      <c r="F48" s="7">
        <f>('Imputed Data'!F48-'Imputed Data'!F47)/'Imputed Data'!F47</f>
        <v>-7.2516316171134377E-4</v>
      </c>
      <c r="G48" s="7">
        <f>('Imputed Data'!G48-'Imputed Data'!G47)/'Imputed Data'!G47</f>
        <v>1.3824884792626817E-2</v>
      </c>
      <c r="H48" s="7">
        <f>('Imputed Data'!H48-'Imputed Data'!H47)/'Imputed Data'!H47</f>
        <v>1.4836795252224674E-3</v>
      </c>
      <c r="I48" s="7">
        <f>('Imputed Data'!I48-'Imputed Data'!I47)/'Imputed Data'!I47</f>
        <v>1.6977928692699733E-3</v>
      </c>
      <c r="J48" s="7">
        <f>('Imputed Data'!J48-'Imputed Data'!J47)/'Imputed Data'!J47</f>
        <v>-4.4543429844097577E-3</v>
      </c>
      <c r="K48" s="7">
        <f>('Imputed Data'!K48-'Imputed Data'!K47)/'Imputed Data'!K47</f>
        <v>-6.15079365079364E-2</v>
      </c>
      <c r="L48" s="7">
        <f>('Imputed Data'!L48-'Imputed Data'!L47)/'Imputed Data'!L47</f>
        <v>-2.3242300987798125E-3</v>
      </c>
      <c r="M48" s="7">
        <f>('Imputed Data'!M48-'Imputed Data'!M47)/'Imputed Data'!M47</f>
        <v>0</v>
      </c>
      <c r="N48" s="7">
        <f>('Imputed Data'!N48-'Imputed Data'!N47)/'Imputed Data'!N47</f>
        <v>2.8715003589373815E-3</v>
      </c>
      <c r="O48" s="7">
        <f>('Imputed Data'!O48-'Imputed Data'!O47)/'Imputed Data'!O47</f>
        <v>7.9302141157818026E-4</v>
      </c>
      <c r="P48" s="7">
        <f>('Imputed Data'!P48-'Imputed Data'!P47)/'Imputed Data'!P47</f>
        <v>4.9610205527995544E-3</v>
      </c>
      <c r="Q48" s="7">
        <f>('Imputed Data'!Q48-'Imputed Data'!Q47)/'Imputed Data'!Q47</f>
        <v>-6.5693430656934724E-3</v>
      </c>
      <c r="R48" s="7">
        <f>('Imputed Data'!R48-'Imputed Data'!R47)/'Imputed Data'!R47</f>
        <v>1.4104372355429381E-3</v>
      </c>
      <c r="S48" s="7">
        <f>('Imputed Data'!S48-'Imputed Data'!S47)/'Imputed Data'!S47</f>
        <v>2.2140221402214863E-3</v>
      </c>
      <c r="T48" s="7">
        <f>('Imputed Data'!T48-'Imputed Data'!T47)/'Imputed Data'!T47</f>
        <v>1.54918667699471E-3</v>
      </c>
      <c r="U48" s="7">
        <f>('Imputed Data'!U48-'Imputed Data'!U47)/'Imputed Data'!U47</f>
        <v>3.7174721189591076E-3</v>
      </c>
      <c r="V48" s="7">
        <f>('Imputed Data'!V48-'Imputed Data'!V47)/'Imputed Data'!V47</f>
        <v>3.1080031080031522E-3</v>
      </c>
      <c r="W48" s="7">
        <f>('Imputed Data'!W48-'Imputed Data'!W47)/'Imputed Data'!W47</f>
        <v>5.6315366049879551E-3</v>
      </c>
      <c r="X48" s="7">
        <f>('Imputed Data'!X48-'Imputed Data'!X47)/'Imputed Data'!X47</f>
        <v>1.5576323987538056E-3</v>
      </c>
      <c r="Y48" s="7">
        <f>('Imputed Data'!Y48-'Imputed Data'!Y47)/'Imputed Data'!Y47</f>
        <v>2.3790642347344283E-3</v>
      </c>
      <c r="Z48" s="7">
        <f>('Imputed Data'!Z48-'Imputed Data'!Z47)/'Imputed Data'!Z47</f>
        <v>4.340277777777778E-3</v>
      </c>
      <c r="AA48" s="7">
        <f>('Imputed Data'!AA48-'Imputed Data'!AA47)/'Imputed Data'!AA47</f>
        <v>4.048582995951417E-3</v>
      </c>
      <c r="AB48" s="7">
        <f>('Imputed Data'!AB48-'Imputed Data'!AB47)/'Imputed Data'!AB47</f>
        <v>3.0211480362538194E-3</v>
      </c>
      <c r="AC48" s="7">
        <f>('Imputed Data'!AC48-'Imputed Data'!AC47)/'Imputed Data'!AC47</f>
        <v>4.095004095004095E-3</v>
      </c>
      <c r="AD48" s="7">
        <f>('Imputed Data'!AD48-'Imputed Data'!AD47)/'Imputed Data'!AD47</f>
        <v>3.2414910858994447E-3</v>
      </c>
      <c r="AE48" s="7">
        <f>('Imputed Data'!AE48-'Imputed Data'!AE47)/'Imputed Data'!AE47</f>
        <v>-1.52207001522083E-3</v>
      </c>
    </row>
    <row r="49" spans="1:31" x14ac:dyDescent="0.25">
      <c r="A49" s="1">
        <f>'Imputed Data'!A49</f>
        <v>42705</v>
      </c>
      <c r="B49" s="1" t="str">
        <f>'Imputed Data'!B49</f>
        <v>Rural+Urban</v>
      </c>
      <c r="C49" s="2">
        <f>'Imputed Data'!C49</f>
        <v>2016</v>
      </c>
      <c r="D49" s="1" t="str">
        <f>'Imputed Data'!D49</f>
        <v>December</v>
      </c>
      <c r="E49" s="7">
        <f>('Imputed Data'!E49-'Imputed Data'!E48)/'Imputed Data'!E48</f>
        <v>6.8493150684931937E-3</v>
      </c>
      <c r="F49" s="7">
        <f>('Imputed Data'!F49-'Imputed Data'!F48)/'Imputed Data'!F48</f>
        <v>-1.4513788098694995E-3</v>
      </c>
      <c r="G49" s="7">
        <f>('Imputed Data'!G49-'Imputed Data'!G48)/'Imputed Data'!G48</f>
        <v>6.8181818181818612E-3</v>
      </c>
      <c r="H49" s="7">
        <f>('Imputed Data'!H49-'Imputed Data'!H48)/'Imputed Data'!H48</f>
        <v>7.4074074074069864E-4</v>
      </c>
      <c r="I49" s="7">
        <f>('Imputed Data'!I49-'Imputed Data'!I48)/'Imputed Data'!I48</f>
        <v>5.0847457627118163E-3</v>
      </c>
      <c r="J49" s="7">
        <f>('Imputed Data'!J49-'Imputed Data'!J48)/'Imputed Data'!J48</f>
        <v>-1.0439970171513838E-2</v>
      </c>
      <c r="K49" s="7">
        <f>('Imputed Data'!K49-'Imputed Data'!K48)/'Imputed Data'!K48</f>
        <v>-0.11698379140239611</v>
      </c>
      <c r="L49" s="7">
        <f>('Imputed Data'!L49-'Imputed Data'!L48)/'Imputed Data'!L48</f>
        <v>-1.7472335468841003E-2</v>
      </c>
      <c r="M49" s="7">
        <f>('Imputed Data'!M49-'Imputed Data'!M48)/'Imputed Data'!M48</f>
        <v>2.6292725679229745E-3</v>
      </c>
      <c r="N49" s="7">
        <f>('Imputed Data'!N49-'Imputed Data'!N48)/'Imputed Data'!N48</f>
        <v>3.5790980672870442E-3</v>
      </c>
      <c r="O49" s="7">
        <f>('Imputed Data'!O49-'Imputed Data'!O48)/'Imputed Data'!O48</f>
        <v>3.1695721077653841E-3</v>
      </c>
      <c r="P49" s="7">
        <f>('Imputed Data'!P49-'Imputed Data'!P48)/'Imputed Data'!P48</f>
        <v>3.5260930888575456E-3</v>
      </c>
      <c r="Q49" s="7">
        <f>('Imputed Data'!Q49-'Imputed Data'!Q48)/'Imputed Data'!Q48</f>
        <v>-1.5429831006612743E-2</v>
      </c>
      <c r="R49" s="7">
        <f>('Imputed Data'!R49-'Imputed Data'!R48)/'Imputed Data'!R48</f>
        <v>7.7464788732393968E-3</v>
      </c>
      <c r="S49" s="7">
        <f>('Imputed Data'!S49-'Imputed Data'!S48)/'Imputed Data'!S48</f>
        <v>3.6818851251840938E-3</v>
      </c>
      <c r="T49" s="7">
        <f>('Imputed Data'!T49-'Imputed Data'!T48)/'Imputed Data'!T48</f>
        <v>3.8669760247486461E-3</v>
      </c>
      <c r="U49" s="7">
        <f>('Imputed Data'!U49-'Imputed Data'!U48)/'Imputed Data'!U48</f>
        <v>2.9629629629630049E-3</v>
      </c>
      <c r="V49" s="7">
        <f>('Imputed Data'!V49-'Imputed Data'!V48)/'Imputed Data'!V48</f>
        <v>-4.6475600309836898E-3</v>
      </c>
      <c r="W49" s="7">
        <f>('Imputed Data'!W49-'Imputed Data'!W48)/'Imputed Data'!W48</f>
        <v>1.2799999999999954E-2</v>
      </c>
      <c r="X49" s="7">
        <f>('Imputed Data'!X49-'Imputed Data'!X48)/'Imputed Data'!X48</f>
        <v>4.6656298600310604E-3</v>
      </c>
      <c r="Y49" s="7">
        <f>('Imputed Data'!Y49-'Imputed Data'!Y48)/'Imputed Data'!Y48</f>
        <v>3.955696202531645E-3</v>
      </c>
      <c r="Z49" s="7">
        <f>('Imputed Data'!Z49-'Imputed Data'!Z48)/'Imputed Data'!Z48</f>
        <v>2.5929127052722314E-3</v>
      </c>
      <c r="AA49" s="7">
        <f>('Imputed Data'!AA49-'Imputed Data'!AA48)/'Imputed Data'!AA48</f>
        <v>1.6129032258064746E-3</v>
      </c>
      <c r="AB49" s="7">
        <f>('Imputed Data'!AB49-'Imputed Data'!AB48)/'Imputed Data'!AB48</f>
        <v>2.2590361445781848E-3</v>
      </c>
      <c r="AC49" s="7">
        <f>('Imputed Data'!AC49-'Imputed Data'!AC48)/'Imputed Data'!AC48</f>
        <v>-1.2234910277324634E-2</v>
      </c>
      <c r="AD49" s="7">
        <f>('Imputed Data'!AD49-'Imputed Data'!AD48)/'Imputed Data'!AD48</f>
        <v>8.0775444264950347E-4</v>
      </c>
      <c r="AE49" s="7">
        <f>('Imputed Data'!AE49-'Imputed Data'!AE48)/'Imputed Data'!AE48</f>
        <v>-6.0975609756096271E-3</v>
      </c>
    </row>
    <row r="50" spans="1:31" x14ac:dyDescent="0.25">
      <c r="A50" s="1">
        <f>'Imputed Data'!A50</f>
        <v>42736</v>
      </c>
      <c r="B50" s="1" t="str">
        <f>'Imputed Data'!B50</f>
        <v>Rural+Urban</v>
      </c>
      <c r="C50" s="2">
        <f>'Imputed Data'!C50</f>
        <v>2017</v>
      </c>
      <c r="D50" s="1" t="str">
        <f>'Imputed Data'!D50</f>
        <v>January</v>
      </c>
      <c r="E50" s="7">
        <f>('Imputed Data'!E50-'Imputed Data'!E49)/'Imputed Data'!E49</f>
        <v>3.7792894935752075E-3</v>
      </c>
      <c r="F50" s="7">
        <f>('Imputed Data'!F50-'Imputed Data'!F49)/'Imputed Data'!F49</f>
        <v>4.3604651162790289E-3</v>
      </c>
      <c r="G50" s="7">
        <f>('Imputed Data'!G50-'Imputed Data'!G49)/'Imputed Data'!G49</f>
        <v>-5.2671181339354178E-3</v>
      </c>
      <c r="H50" s="7">
        <f>('Imputed Data'!H50-'Imputed Data'!H49)/'Imputed Data'!H49</f>
        <v>2.2205773501111129E-3</v>
      </c>
      <c r="I50" s="7">
        <f>('Imputed Data'!I50-'Imputed Data'!I49)/'Imputed Data'!I49</f>
        <v>4.2158516020236085E-3</v>
      </c>
      <c r="J50" s="7">
        <f>('Imputed Data'!J50-'Imputed Data'!J49)/'Imputed Data'!J49</f>
        <v>2.2607385079126707E-3</v>
      </c>
      <c r="K50" s="7">
        <f>('Imputed Data'!K50-'Imputed Data'!K49)/'Imputed Data'!K49</f>
        <v>-4.7086991221069366E-2</v>
      </c>
      <c r="L50" s="7">
        <f>('Imputed Data'!L50-'Imputed Data'!L49)/'Imputed Data'!L49</f>
        <v>-5.4534676941315884E-2</v>
      </c>
      <c r="M50" s="7">
        <f>('Imputed Data'!M50-'Imputed Data'!M49)/'Imputed Data'!M49</f>
        <v>1.0489510489510389E-2</v>
      </c>
      <c r="N50" s="7">
        <f>('Imputed Data'!N50-'Imputed Data'!N49)/'Imputed Data'!N49</f>
        <v>-4.2796005706133696E-3</v>
      </c>
      <c r="O50" s="7">
        <f>('Imputed Data'!O50-'Imputed Data'!O49)/'Imputed Data'!O49</f>
        <v>0</v>
      </c>
      <c r="P50" s="7">
        <f>('Imputed Data'!P50-'Imputed Data'!P49)/'Imputed Data'!P49</f>
        <v>3.5137034434293743E-3</v>
      </c>
      <c r="Q50" s="7">
        <f>('Imputed Data'!Q50-'Imputed Data'!Q49)/'Imputed Data'!Q49</f>
        <v>-6.7164179104478037E-3</v>
      </c>
      <c r="R50" s="7">
        <f>('Imputed Data'!R50-'Imputed Data'!R49)/'Imputed Data'!R49</f>
        <v>4.8916841369672755E-3</v>
      </c>
      <c r="S50" s="7">
        <f>('Imputed Data'!S50-'Imputed Data'!S49)/'Imputed Data'!S49</f>
        <v>2.201027146001342E-3</v>
      </c>
      <c r="T50" s="7">
        <f>('Imputed Data'!T50-'Imputed Data'!T49)/'Imputed Data'!T49</f>
        <v>3.0816640986130756E-3</v>
      </c>
      <c r="U50" s="7">
        <f>('Imputed Data'!U50-'Imputed Data'!U49)/'Imputed Data'!U49</f>
        <v>1.4771048744460016E-3</v>
      </c>
      <c r="V50" s="7">
        <f>('Imputed Data'!V50-'Imputed Data'!V49)/'Imputed Data'!V49</f>
        <v>8.5603112840466483E-3</v>
      </c>
      <c r="W50" s="7">
        <f>('Imputed Data'!W50-'Imputed Data'!W49)/'Imputed Data'!W49</f>
        <v>1.5797788309636876E-3</v>
      </c>
      <c r="X50" s="7">
        <f>('Imputed Data'!X50-'Imputed Data'!X49)/'Imputed Data'!X49</f>
        <v>1.5479876160992034E-3</v>
      </c>
      <c r="Y50" s="7">
        <f>('Imputed Data'!Y50-'Imputed Data'!Y49)/'Imputed Data'!Y49</f>
        <v>1.5760441292355289E-3</v>
      </c>
      <c r="Z50" s="7">
        <f>('Imputed Data'!Z50-'Imputed Data'!Z49)/'Imputed Data'!Z49</f>
        <v>8.6206896551724137E-3</v>
      </c>
      <c r="AA50" s="7">
        <f>('Imputed Data'!AA50-'Imputed Data'!AA49)/'Imputed Data'!AA49</f>
        <v>0</v>
      </c>
      <c r="AB50" s="7">
        <f>('Imputed Data'!AB50-'Imputed Data'!AB49)/'Imputed Data'!AB49</f>
        <v>1.5026296018032838E-3</v>
      </c>
      <c r="AC50" s="7">
        <f>('Imputed Data'!AC50-'Imputed Data'!AC49)/'Imputed Data'!AC49</f>
        <v>4.9545829892651411E-3</v>
      </c>
      <c r="AD50" s="7">
        <f>('Imputed Data'!AD50-'Imputed Data'!AD49)/'Imputed Data'!AD49</f>
        <v>4.0355125100887809E-3</v>
      </c>
      <c r="AE50" s="7">
        <f>('Imputed Data'!AE50-'Imputed Data'!AE49)/'Imputed Data'!AE49</f>
        <v>-7.668711656441281E-4</v>
      </c>
    </row>
    <row r="51" spans="1:31" x14ac:dyDescent="0.25">
      <c r="A51" s="1">
        <f>'Imputed Data'!A51</f>
        <v>42767</v>
      </c>
      <c r="B51" s="1" t="str">
        <f>'Imputed Data'!B51</f>
        <v>Rural+Urban</v>
      </c>
      <c r="C51" s="2">
        <f>'Imputed Data'!C51</f>
        <v>2017</v>
      </c>
      <c r="D51" s="1" t="str">
        <f>'Imputed Data'!D51</f>
        <v>February</v>
      </c>
      <c r="E51" s="7">
        <f>('Imputed Data'!E51-'Imputed Data'!E50)/'Imputed Data'!E50</f>
        <v>2.2590361445781848E-3</v>
      </c>
      <c r="F51" s="7">
        <f>('Imputed Data'!F51-'Imputed Data'!F50)/'Imputed Data'!F50</f>
        <v>4.3415340086832331E-3</v>
      </c>
      <c r="G51" s="7">
        <f>('Imputed Data'!G51-'Imputed Data'!G50)/'Imputed Data'!G50</f>
        <v>-2.1936459909228271E-2</v>
      </c>
      <c r="H51" s="7">
        <f>('Imputed Data'!H51-'Imputed Data'!H50)/'Imputed Data'!H50</f>
        <v>2.9542097488922132E-3</v>
      </c>
      <c r="I51" s="7">
        <f>('Imputed Data'!I51-'Imputed Data'!I50)/'Imputed Data'!I50</f>
        <v>8.3963056255254855E-4</v>
      </c>
      <c r="J51" s="7">
        <f>('Imputed Data'!J51-'Imputed Data'!J50)/'Imputed Data'!J50</f>
        <v>1.7293233082706853E-2</v>
      </c>
      <c r="K51" s="7">
        <f>('Imputed Data'!K51-'Imputed Data'!K50)/'Imputed Data'!K50</f>
        <v>8.3752093802340289E-4</v>
      </c>
      <c r="L51" s="7">
        <f>('Imputed Data'!L51-'Imputed Data'!L50)/'Imputed Data'!L50</f>
        <v>-4.5768025078369974E-2</v>
      </c>
      <c r="M51" s="7">
        <f>('Imputed Data'!M51-'Imputed Data'!M50)/'Imputed Data'!M50</f>
        <v>1.4705882352941202E-2</v>
      </c>
      <c r="N51" s="7">
        <f>('Imputed Data'!N51-'Imputed Data'!N50)/'Imputed Data'!N50</f>
        <v>-6.4469914040115022E-3</v>
      </c>
      <c r="O51" s="7">
        <f>('Imputed Data'!O51-'Imputed Data'!O50)/'Imputed Data'!O50</f>
        <v>2.3696682464455876E-3</v>
      </c>
      <c r="P51" s="7">
        <f>('Imputed Data'!P51-'Imputed Data'!P50)/'Imputed Data'!P50</f>
        <v>2.8011204481791121E-3</v>
      </c>
      <c r="Q51" s="7">
        <f>('Imputed Data'!Q51-'Imputed Data'!Q50)/'Imputed Data'!Q50</f>
        <v>-7.5131480090153508E-4</v>
      </c>
      <c r="R51" s="7">
        <f>('Imputed Data'!R51-'Imputed Data'!R50)/'Imputed Data'!R50</f>
        <v>4.1724617524338961E-3</v>
      </c>
      <c r="S51" s="7">
        <f>('Imputed Data'!S51-'Imputed Data'!S50)/'Imputed Data'!S50</f>
        <v>1.4641288433383387E-3</v>
      </c>
      <c r="T51" s="7">
        <f>('Imputed Data'!T51-'Imputed Data'!T50)/'Imputed Data'!T50</f>
        <v>7.68049155146104E-4</v>
      </c>
      <c r="U51" s="7">
        <f>('Imputed Data'!U51-'Imputed Data'!U50)/'Imputed Data'!U50</f>
        <v>2.2123893805310576E-3</v>
      </c>
      <c r="V51" s="7">
        <f>('Imputed Data'!V51-'Imputed Data'!V50)/'Imputed Data'!V50</f>
        <v>6.9444444444444883E-3</v>
      </c>
      <c r="W51" s="7">
        <f>('Imputed Data'!W51-'Imputed Data'!W50)/'Imputed Data'!W50</f>
        <v>8.6750788643533798E-3</v>
      </c>
      <c r="X51" s="7">
        <f>('Imputed Data'!X51-'Imputed Data'!X50)/'Imputed Data'!X50</f>
        <v>2.3183925811436083E-3</v>
      </c>
      <c r="Y51" s="7">
        <f>('Imputed Data'!Y51-'Imputed Data'!Y50)/'Imputed Data'!Y50</f>
        <v>2.3603461841070917E-3</v>
      </c>
      <c r="Z51" s="7">
        <f>('Imputed Data'!Z51-'Imputed Data'!Z50)/'Imputed Data'!Z50</f>
        <v>3.4188034188034674E-3</v>
      </c>
      <c r="AA51" s="7">
        <f>('Imputed Data'!AA51-'Imputed Data'!AA50)/'Imputed Data'!AA50</f>
        <v>3.2206119162640216E-3</v>
      </c>
      <c r="AB51" s="7">
        <f>('Imputed Data'!AB51-'Imputed Data'!AB50)/'Imputed Data'!AB50</f>
        <v>7.5018754688667899E-4</v>
      </c>
      <c r="AC51" s="7">
        <f>('Imputed Data'!AC51-'Imputed Data'!AC50)/'Imputed Data'!AC50</f>
        <v>7.3952341824157063E-3</v>
      </c>
      <c r="AD51" s="7">
        <f>('Imputed Data'!AD51-'Imputed Data'!AD50)/'Imputed Data'!AD50</f>
        <v>3.2154340836012176E-3</v>
      </c>
      <c r="AE51" s="7">
        <f>('Imputed Data'!AE51-'Imputed Data'!AE50)/'Imputed Data'!AE50</f>
        <v>2.3023791250958016E-3</v>
      </c>
    </row>
    <row r="52" spans="1:31" x14ac:dyDescent="0.25">
      <c r="A52" s="1">
        <f>'Imputed Data'!A52</f>
        <v>42795</v>
      </c>
      <c r="B52" s="1" t="str">
        <f>'Imputed Data'!B52</f>
        <v>Rural+Urban</v>
      </c>
      <c r="C52" s="2">
        <f>'Imputed Data'!C52</f>
        <v>2017</v>
      </c>
      <c r="D52" s="1" t="str">
        <f>'Imputed Data'!D52</f>
        <v>March</v>
      </c>
      <c r="E52" s="7">
        <f>('Imputed Data'!E52-'Imputed Data'!E51)/'Imputed Data'!E51</f>
        <v>1.5026296018032838E-3</v>
      </c>
      <c r="F52" s="7">
        <f>('Imputed Data'!F52-'Imputed Data'!F51)/'Imputed Data'!F51</f>
        <v>1.440922190201647E-3</v>
      </c>
      <c r="G52" s="7">
        <f>('Imputed Data'!G52-'Imputed Data'!G51)/'Imputed Data'!G51</f>
        <v>-5.4137664346482362E-3</v>
      </c>
      <c r="H52" s="7">
        <f>('Imputed Data'!H52-'Imputed Data'!H51)/'Imputed Data'!H51</f>
        <v>3.6818851251840938E-3</v>
      </c>
      <c r="I52" s="7">
        <f>('Imputed Data'!I52-'Imputed Data'!I51)/'Imputed Data'!I51</f>
        <v>-3.3557046979866248E-3</v>
      </c>
      <c r="J52" s="7">
        <f>('Imputed Data'!J52-'Imputed Data'!J51)/'Imputed Data'!J51</f>
        <v>2.2172949002217293E-2</v>
      </c>
      <c r="K52" s="7">
        <f>('Imputed Data'!K52-'Imputed Data'!K51)/'Imputed Data'!K51</f>
        <v>8.368200836820083E-3</v>
      </c>
      <c r="L52" s="7">
        <f>('Imputed Data'!L52-'Imputed Data'!L51)/'Imputed Data'!L51</f>
        <v>-5.4533508541392793E-2</v>
      </c>
      <c r="M52" s="7">
        <f>('Imputed Data'!M52-'Imputed Data'!M51)/'Imputed Data'!M51</f>
        <v>5.9676044330776029E-3</v>
      </c>
      <c r="N52" s="7">
        <f>('Imputed Data'!N52-'Imputed Data'!N51)/'Imputed Data'!N51</f>
        <v>-5.7678442682046359E-3</v>
      </c>
      <c r="O52" s="7">
        <f>('Imputed Data'!O52-'Imputed Data'!O51)/'Imputed Data'!O51</f>
        <v>2.3640661938534053E-3</v>
      </c>
      <c r="P52" s="7">
        <f>('Imputed Data'!P52-'Imputed Data'!P51)/'Imputed Data'!P51</f>
        <v>5.5865921787710297E-3</v>
      </c>
      <c r="Q52" s="7">
        <f>('Imputed Data'!Q52-'Imputed Data'!Q51)/'Imputed Data'!Q51</f>
        <v>7.5187969924807752E-4</v>
      </c>
      <c r="R52" s="7">
        <f>('Imputed Data'!R52-'Imputed Data'!R51)/'Imputed Data'!R51</f>
        <v>4.8476454293628016E-3</v>
      </c>
      <c r="S52" s="7">
        <f>('Imputed Data'!S52-'Imputed Data'!S51)/'Imputed Data'!S51</f>
        <v>3.6549707602339179E-3</v>
      </c>
      <c r="T52" s="7">
        <f>('Imputed Data'!T52-'Imputed Data'!T51)/'Imputed Data'!T51</f>
        <v>2.3023791250958016E-3</v>
      </c>
      <c r="U52" s="7">
        <f>('Imputed Data'!U52-'Imputed Data'!U51)/'Imputed Data'!U51</f>
        <v>3.6791758646063282E-3</v>
      </c>
      <c r="V52" s="7">
        <f>('Imputed Data'!V52-'Imputed Data'!V51)/'Imputed Data'!V51</f>
        <v>4.5977011494252439E-3</v>
      </c>
      <c r="W52" s="7">
        <f>('Imputed Data'!W52-'Imputed Data'!W51)/'Imputed Data'!W51</f>
        <v>9.3823299452696525E-3</v>
      </c>
      <c r="X52" s="7">
        <f>('Imputed Data'!X52-'Imputed Data'!X51)/'Imputed Data'!X51</f>
        <v>3.0840400925212469E-3</v>
      </c>
      <c r="Y52" s="7">
        <f>('Imputed Data'!Y52-'Imputed Data'!Y51)/'Imputed Data'!Y51</f>
        <v>3.1397174254316441E-3</v>
      </c>
      <c r="Z52" s="7">
        <f>('Imputed Data'!Z52-'Imputed Data'!Z51)/'Imputed Data'!Z51</f>
        <v>1.7035775127767344E-3</v>
      </c>
      <c r="AA52" s="7">
        <f>('Imputed Data'!AA52-'Imputed Data'!AA51)/'Imputed Data'!AA51</f>
        <v>3.2102728731942675E-3</v>
      </c>
      <c r="AB52" s="7">
        <f>('Imputed Data'!AB52-'Imputed Data'!AB51)/'Imputed Data'!AB51</f>
        <v>2.9985007496252298E-3</v>
      </c>
      <c r="AC52" s="7">
        <f>('Imputed Data'!AC52-'Imputed Data'!AC51)/'Imputed Data'!AC51</f>
        <v>0</v>
      </c>
      <c r="AD52" s="7">
        <f>('Imputed Data'!AD52-'Imputed Data'!AD51)/'Imputed Data'!AD51</f>
        <v>2.403846153846131E-3</v>
      </c>
      <c r="AE52" s="7">
        <f>('Imputed Data'!AE52-'Imputed Data'!AE51)/'Imputed Data'!AE51</f>
        <v>2.2970903522206076E-3</v>
      </c>
    </row>
    <row r="53" spans="1:31" x14ac:dyDescent="0.25">
      <c r="A53" s="1">
        <f>'Imputed Data'!A53</f>
        <v>42826</v>
      </c>
      <c r="B53" s="1" t="str">
        <f>'Imputed Data'!B53</f>
        <v>Rural+Urban</v>
      </c>
      <c r="C53" s="2">
        <f>'Imputed Data'!C53</f>
        <v>2017</v>
      </c>
      <c r="D53" s="1" t="str">
        <f>'Imputed Data'!D53</f>
        <v>April</v>
      </c>
      <c r="E53" s="7">
        <f>('Imputed Data'!E53-'Imputed Data'!E52)/'Imputed Data'!E52</f>
        <v>-2.2505626406602503E-3</v>
      </c>
      <c r="F53" s="7">
        <f>('Imputed Data'!F53-'Imputed Data'!F52)/'Imputed Data'!F52</f>
        <v>2.8776978417266595E-3</v>
      </c>
      <c r="G53" s="7">
        <f>('Imputed Data'!G53-'Imputed Data'!G52)/'Imputed Data'!G52</f>
        <v>-1.9440124416796267E-2</v>
      </c>
      <c r="H53" s="7">
        <f>('Imputed Data'!H53-'Imputed Data'!H52)/'Imputed Data'!H52</f>
        <v>6.6030814380042347E-3</v>
      </c>
      <c r="I53" s="7">
        <f>('Imputed Data'!I53-'Imputed Data'!I52)/'Imputed Data'!I52</f>
        <v>-3.3670033670032953E-3</v>
      </c>
      <c r="J53" s="7">
        <f>('Imputed Data'!J53-'Imputed Data'!J52)/'Imputed Data'!J52</f>
        <v>1.1569052783803284E-2</v>
      </c>
      <c r="K53" s="7">
        <f>('Imputed Data'!K53-'Imputed Data'!K52)/'Imputed Data'!K52</f>
        <v>2.4066390041493822E-2</v>
      </c>
      <c r="L53" s="7">
        <f>('Imputed Data'!L53-'Imputed Data'!L52)/'Imputed Data'!L52</f>
        <v>-2.0847810979847115E-2</v>
      </c>
      <c r="M53" s="7">
        <f>('Imputed Data'!M53-'Imputed Data'!M52)/'Imputed Data'!M52</f>
        <v>4.2372881355932203E-3</v>
      </c>
      <c r="N53" s="7">
        <f>('Imputed Data'!N53-'Imputed Data'!N52)/'Imputed Data'!N52</f>
        <v>-1.0152284263959432E-2</v>
      </c>
      <c r="O53" s="7">
        <f>('Imputed Data'!O53-'Imputed Data'!O52)/'Imputed Data'!O52</f>
        <v>1.5723270440251794E-3</v>
      </c>
      <c r="P53" s="7">
        <f>('Imputed Data'!P53-'Imputed Data'!P52)/'Imputed Data'!P52</f>
        <v>1.38888888888881E-3</v>
      </c>
      <c r="Q53" s="7">
        <f>('Imputed Data'!Q53-'Imputed Data'!Q52)/'Imputed Data'!Q52</f>
        <v>3.0052592036063537E-3</v>
      </c>
      <c r="R53" s="7">
        <f>('Imputed Data'!R53-'Imputed Data'!R52)/'Imputed Data'!R52</f>
        <v>2.0675396278429454E-3</v>
      </c>
      <c r="S53" s="7">
        <f>('Imputed Data'!S53-'Imputed Data'!S52)/'Imputed Data'!S52</f>
        <v>5.0983248361251895E-3</v>
      </c>
      <c r="T53" s="7">
        <f>('Imputed Data'!T53-'Imputed Data'!T52)/'Imputed Data'!T52</f>
        <v>3.8284839203675345E-3</v>
      </c>
      <c r="U53" s="7">
        <f>('Imputed Data'!U53-'Imputed Data'!U52)/'Imputed Data'!U52</f>
        <v>4.3988269794720987E-3</v>
      </c>
      <c r="V53" s="7">
        <f>('Imputed Data'!V53-'Imputed Data'!V52)/'Imputed Data'!V52</f>
        <v>4.5766590389015585E-3</v>
      </c>
      <c r="W53" s="7">
        <f>('Imputed Data'!W53-'Imputed Data'!W52)/'Imputed Data'!W52</f>
        <v>5.4221533694811547E-3</v>
      </c>
      <c r="X53" s="7">
        <f>('Imputed Data'!X53-'Imputed Data'!X52)/'Imputed Data'!X52</f>
        <v>2.3059185242122319E-3</v>
      </c>
      <c r="Y53" s="7">
        <f>('Imputed Data'!Y53-'Imputed Data'!Y52)/'Imputed Data'!Y52</f>
        <v>2.3474178403755648E-3</v>
      </c>
      <c r="Z53" s="7">
        <f>('Imputed Data'!Z53-'Imputed Data'!Z52)/'Imputed Data'!Z52</f>
        <v>-8.5034013605442185E-3</v>
      </c>
      <c r="AA53" s="7">
        <f>('Imputed Data'!AA53-'Imputed Data'!AA52)/'Imputed Data'!AA52</f>
        <v>7.999999999999545E-4</v>
      </c>
      <c r="AB53" s="7">
        <f>('Imputed Data'!AB53-'Imputed Data'!AB52)/'Imputed Data'!AB52</f>
        <v>5.2316890881912445E-3</v>
      </c>
      <c r="AC53" s="7">
        <f>('Imputed Data'!AC53-'Imputed Data'!AC52)/'Imputed Data'!AC52</f>
        <v>4.0783034257748782E-3</v>
      </c>
      <c r="AD53" s="7">
        <f>('Imputed Data'!AD53-'Imputed Data'!AD52)/'Imputed Data'!AD52</f>
        <v>0</v>
      </c>
      <c r="AE53" s="7">
        <f>('Imputed Data'!AE53-'Imputed Data'!AE52)/'Imputed Data'!AE52</f>
        <v>1.5278838808249703E-3</v>
      </c>
    </row>
    <row r="54" spans="1:31" x14ac:dyDescent="0.25">
      <c r="A54" s="1">
        <f>'Imputed Data'!A54</f>
        <v>42856</v>
      </c>
      <c r="B54" s="1" t="str">
        <f>'Imputed Data'!B54</f>
        <v>Rural+Urban</v>
      </c>
      <c r="C54" s="2">
        <f>'Imputed Data'!C54</f>
        <v>2017</v>
      </c>
      <c r="D54" s="1" t="str">
        <f>'Imputed Data'!D54</f>
        <v>May</v>
      </c>
      <c r="E54" s="7">
        <f>('Imputed Data'!E54-'Imputed Data'!E53)/'Imputed Data'!E53</f>
        <v>-7.5187969924807752E-4</v>
      </c>
      <c r="F54" s="7">
        <f>('Imputed Data'!F54-'Imputed Data'!F53)/'Imputed Data'!F53</f>
        <v>1.578192252510752E-2</v>
      </c>
      <c r="G54" s="7">
        <f>('Imputed Data'!G54-'Imputed Data'!G53)/'Imputed Data'!G53</f>
        <v>1.5860428231562478E-3</v>
      </c>
      <c r="H54" s="7">
        <f>('Imputed Data'!H54-'Imputed Data'!H53)/'Imputed Data'!H53</f>
        <v>3.644314868804665E-3</v>
      </c>
      <c r="I54" s="7">
        <f>('Imputed Data'!I54-'Imputed Data'!I53)/'Imputed Data'!I53</f>
        <v>-2.5337837837838798E-3</v>
      </c>
      <c r="J54" s="7">
        <f>('Imputed Data'!J54-'Imputed Data'!J53)/'Imputed Data'!J53</f>
        <v>-1.4295925661186561E-2</v>
      </c>
      <c r="K54" s="7">
        <f>('Imputed Data'!K54-'Imputed Data'!K53)/'Imputed Data'!K53</f>
        <v>1.7828200972447233E-2</v>
      </c>
      <c r="L54" s="7">
        <f>('Imputed Data'!L54-'Imputed Data'!L53)/'Imputed Data'!L53</f>
        <v>-1.8452803406671357E-2</v>
      </c>
      <c r="M54" s="7">
        <f>('Imputed Data'!M54-'Imputed Data'!M53)/'Imputed Data'!M53</f>
        <v>7.5949367088608078E-3</v>
      </c>
      <c r="N54" s="7">
        <f>('Imputed Data'!N54-'Imputed Data'!N53)/'Imputed Data'!N53</f>
        <v>-3.663003663003663E-3</v>
      </c>
      <c r="O54" s="7">
        <f>('Imputed Data'!O54-'Imputed Data'!O53)/'Imputed Data'!O53</f>
        <v>1.5698587127157663E-3</v>
      </c>
      <c r="P54" s="7">
        <f>('Imputed Data'!P54-'Imputed Data'!P53)/'Imputed Data'!P53</f>
        <v>2.0804438280167224E-3</v>
      </c>
      <c r="Q54" s="7">
        <f>('Imputed Data'!Q54-'Imputed Data'!Q53)/'Imputed Data'!Q53</f>
        <v>1.4981273408238849E-3</v>
      </c>
      <c r="R54" s="7">
        <f>('Imputed Data'!R54-'Imputed Data'!R53)/'Imputed Data'!R53</f>
        <v>5.50206327372753E-3</v>
      </c>
      <c r="S54" s="7">
        <f>('Imputed Data'!S54-'Imputed Data'!S53)/'Imputed Data'!S53</f>
        <v>1.4492753623187582E-3</v>
      </c>
      <c r="T54" s="7">
        <f>('Imputed Data'!T54-'Imputed Data'!T53)/'Imputed Data'!T53</f>
        <v>2.2883295194508877E-3</v>
      </c>
      <c r="U54" s="7">
        <f>('Imputed Data'!U54-'Imputed Data'!U53)/'Imputed Data'!U53</f>
        <v>1.4598540145984572E-3</v>
      </c>
      <c r="V54" s="7">
        <f>('Imputed Data'!V54-'Imputed Data'!V53)/'Imputed Data'!V53</f>
        <v>3.0372057706910078E-3</v>
      </c>
      <c r="W54" s="7">
        <f>('Imputed Data'!W54-'Imputed Data'!W53)/'Imputed Data'!W53</f>
        <v>-3.0816640986132946E-3</v>
      </c>
      <c r="X54" s="7">
        <f>('Imputed Data'!X54-'Imputed Data'!X53)/'Imputed Data'!X53</f>
        <v>3.8343558282208589E-3</v>
      </c>
      <c r="Y54" s="7">
        <f>('Imputed Data'!Y54-'Imputed Data'!Y53)/'Imputed Data'!Y53</f>
        <v>2.3419203747073489E-3</v>
      </c>
      <c r="Z54" s="7">
        <f>('Imputed Data'!Z54-'Imputed Data'!Z53)/'Imputed Data'!Z53</f>
        <v>8.5763293310470439E-4</v>
      </c>
      <c r="AA54" s="7">
        <f>('Imputed Data'!AA54-'Imputed Data'!AA53)/'Imputed Data'!AA53</f>
        <v>4.7961630695444327E-3</v>
      </c>
      <c r="AB54" s="7">
        <f>('Imputed Data'!AB54-'Imputed Data'!AB53)/'Imputed Data'!AB53</f>
        <v>2.2304832713755493E-3</v>
      </c>
      <c r="AC54" s="7">
        <f>('Imputed Data'!AC54-'Imputed Data'!AC53)/'Imputed Data'!AC53</f>
        <v>-8.1234768480905218E-4</v>
      </c>
      <c r="AD54" s="7">
        <f>('Imputed Data'!AD54-'Imputed Data'!AD53)/'Imputed Data'!AD53</f>
        <v>1.5987210231814776E-3</v>
      </c>
      <c r="AE54" s="7">
        <f>('Imputed Data'!AE54-'Imputed Data'!AE53)/'Imputed Data'!AE53</f>
        <v>2.2883295194508877E-3</v>
      </c>
    </row>
    <row r="55" spans="1:31" x14ac:dyDescent="0.25">
      <c r="A55" s="1">
        <f>'Imputed Data'!A55</f>
        <v>42887</v>
      </c>
      <c r="B55" s="1" t="str">
        <f>'Imputed Data'!B55</f>
        <v>Rural+Urban</v>
      </c>
      <c r="C55" s="2">
        <f>'Imputed Data'!C55</f>
        <v>2017</v>
      </c>
      <c r="D55" s="1" t="str">
        <f>'Imputed Data'!D55</f>
        <v>June</v>
      </c>
      <c r="E55" s="7">
        <f>('Imputed Data'!E55-'Imputed Data'!E54)/'Imputed Data'!E54</f>
        <v>3.0097817908202084E-3</v>
      </c>
      <c r="F55" s="7">
        <f>('Imputed Data'!F55-'Imputed Data'!F54)/'Imputed Data'!F54</f>
        <v>2.7542372881355973E-2</v>
      </c>
      <c r="G55" s="7">
        <f>('Imputed Data'!G55-'Imputed Data'!G54)/'Imputed Data'!G54</f>
        <v>1.4251781472684064E-2</v>
      </c>
      <c r="H55" s="7">
        <f>('Imputed Data'!H55-'Imputed Data'!H54)/'Imputed Data'!H54</f>
        <v>2.9048656499637308E-3</v>
      </c>
      <c r="I55" s="7">
        <f>('Imputed Data'!I55-'Imputed Data'!I54)/'Imputed Data'!I54</f>
        <v>8.4674005080447533E-4</v>
      </c>
      <c r="J55" s="7">
        <f>('Imputed Data'!J55-'Imputed Data'!J54)/'Imputed Data'!J54</f>
        <v>9.4271211022478821E-3</v>
      </c>
      <c r="K55" s="7">
        <f>('Imputed Data'!K55-'Imputed Data'!K54)/'Imputed Data'!K54</f>
        <v>6.1305732484076572E-2</v>
      </c>
      <c r="L55" s="7">
        <f>('Imputed Data'!L55-'Imputed Data'!L54)/'Imputed Data'!L54</f>
        <v>-1.5184381778742029E-2</v>
      </c>
      <c r="M55" s="7">
        <f>('Imputed Data'!M55-'Imputed Data'!M54)/'Imputed Data'!M54</f>
        <v>1.6750418760468058E-3</v>
      </c>
      <c r="N55" s="7">
        <f>('Imputed Data'!N55-'Imputed Data'!N54)/'Imputed Data'!N54</f>
        <v>-5.1470588235293284E-3</v>
      </c>
      <c r="O55" s="7">
        <f>('Imputed Data'!O55-'Imputed Data'!O54)/'Imputed Data'!O54</f>
        <v>1.5673981191222793E-3</v>
      </c>
      <c r="P55" s="7">
        <f>('Imputed Data'!P55-'Imputed Data'!P54)/'Imputed Data'!P54</f>
        <v>2.7681660899654373E-3</v>
      </c>
      <c r="Q55" s="7">
        <f>('Imputed Data'!Q55-'Imputed Data'!Q54)/'Imputed Data'!Q54</f>
        <v>1.1219147344801795E-2</v>
      </c>
      <c r="R55" s="7">
        <f>('Imputed Data'!R55-'Imputed Data'!R54)/'Imputed Data'!R54</f>
        <v>2.051983584131405E-3</v>
      </c>
      <c r="S55" s="7">
        <f>('Imputed Data'!S55-'Imputed Data'!S54)/'Imputed Data'!S54</f>
        <v>2.1707670043416166E-3</v>
      </c>
      <c r="T55" s="7">
        <f>('Imputed Data'!T55-'Imputed Data'!T54)/'Imputed Data'!T54</f>
        <v>2.2831050228309204E-3</v>
      </c>
      <c r="U55" s="7">
        <f>('Imputed Data'!U55-'Imputed Data'!U54)/'Imputed Data'!U54</f>
        <v>2.1865889212828817E-3</v>
      </c>
      <c r="V55" s="7">
        <f>('Imputed Data'!V55-'Imputed Data'!V54)/'Imputed Data'!V54</f>
        <v>-5.2990158970476053E-3</v>
      </c>
      <c r="W55" s="7">
        <f>('Imputed Data'!W55-'Imputed Data'!W54)/'Imputed Data'!W54</f>
        <v>-4.6367851622874361E-3</v>
      </c>
      <c r="X55" s="7">
        <f>('Imputed Data'!X55-'Imputed Data'!X54)/'Imputed Data'!X54</f>
        <v>2.2918258212374556E-3</v>
      </c>
      <c r="Y55" s="7">
        <f>('Imputed Data'!Y55-'Imputed Data'!Y54)/'Imputed Data'!Y54</f>
        <v>7.7881619937690278E-4</v>
      </c>
      <c r="Z55" s="7">
        <f>('Imputed Data'!Z55-'Imputed Data'!Z54)/'Imputed Data'!Z54</f>
        <v>-1.7137960582690904E-3</v>
      </c>
      <c r="AA55" s="7">
        <f>('Imputed Data'!AA55-'Imputed Data'!AA54)/'Imputed Data'!AA54</f>
        <v>1.5910898965791793E-3</v>
      </c>
      <c r="AB55" s="7">
        <f>('Imputed Data'!AB55-'Imputed Data'!AB54)/'Imputed Data'!AB54</f>
        <v>4.4510385756676134E-3</v>
      </c>
      <c r="AC55" s="7">
        <f>('Imputed Data'!AC55-'Imputed Data'!AC54)/'Imputed Data'!AC54</f>
        <v>3.2520325203252497E-3</v>
      </c>
      <c r="AD55" s="7">
        <f>('Imputed Data'!AD55-'Imputed Data'!AD54)/'Imputed Data'!AD54</f>
        <v>1.5961691939345797E-3</v>
      </c>
      <c r="AE55" s="7">
        <f>('Imputed Data'!AE55-'Imputed Data'!AE54)/'Imputed Data'!AE54</f>
        <v>4.5662100456620568E-3</v>
      </c>
    </row>
    <row r="56" spans="1:31" x14ac:dyDescent="0.25">
      <c r="A56" s="1">
        <f>'Imputed Data'!A56</f>
        <v>42917</v>
      </c>
      <c r="B56" s="1" t="str">
        <f>'Imputed Data'!B56</f>
        <v>Rural+Urban</v>
      </c>
      <c r="C56" s="2">
        <f>'Imputed Data'!C56</f>
        <v>2017</v>
      </c>
      <c r="D56" s="1" t="str">
        <f>'Imputed Data'!D56</f>
        <v>July</v>
      </c>
      <c r="E56" s="7">
        <f>('Imputed Data'!E56-'Imputed Data'!E55)/'Imputed Data'!E55</f>
        <v>2.250562640660037E-3</v>
      </c>
      <c r="F56" s="7">
        <f>('Imputed Data'!F56-'Imputed Data'!F55)/'Imputed Data'!F55</f>
        <v>1.374570446735317E-3</v>
      </c>
      <c r="G56" s="7">
        <f>('Imputed Data'!G56-'Imputed Data'!G55)/'Imputed Data'!G55</f>
        <v>1.1709601873536301E-2</v>
      </c>
      <c r="H56" s="7">
        <f>('Imputed Data'!H56-'Imputed Data'!H55)/'Imputed Data'!H55</f>
        <v>2.8964518464880936E-3</v>
      </c>
      <c r="I56" s="7">
        <f>('Imputed Data'!I56-'Imputed Data'!I55)/'Imputed Data'!I55</f>
        <v>-8.4602368866335464E-4</v>
      </c>
      <c r="J56" s="7">
        <f>('Imputed Data'!J56-'Imputed Data'!J55)/'Imputed Data'!J55</f>
        <v>1.8678160919540394E-2</v>
      </c>
      <c r="K56" s="7">
        <f>('Imputed Data'!K56-'Imputed Data'!K55)/'Imputed Data'!K55</f>
        <v>0.19654913728432097</v>
      </c>
      <c r="L56" s="7">
        <f>('Imputed Data'!L56-'Imputed Data'!L55)/'Imputed Data'!L55</f>
        <v>-1.9089574155653412E-2</v>
      </c>
      <c r="M56" s="7">
        <f>('Imputed Data'!M56-'Imputed Data'!M55)/'Imputed Data'!M55</f>
        <v>7.5250836120401817E-3</v>
      </c>
      <c r="N56" s="7">
        <f>('Imputed Data'!N56-'Imputed Data'!N55)/'Imputed Data'!N55</f>
        <v>-7.3909830007407777E-4</v>
      </c>
      <c r="O56" s="7">
        <f>('Imputed Data'!O56-'Imputed Data'!O55)/'Imputed Data'!O55</f>
        <v>5.4773082942097253E-3</v>
      </c>
      <c r="P56" s="7">
        <f>('Imputed Data'!P56-'Imputed Data'!P55)/'Imputed Data'!P55</f>
        <v>6.2111801242236411E-3</v>
      </c>
      <c r="Q56" s="7">
        <f>('Imputed Data'!Q56-'Imputed Data'!Q55)/'Imputed Data'!Q55</f>
        <v>2.8106508875739733E-2</v>
      </c>
      <c r="R56" s="7">
        <f>('Imputed Data'!R56-'Imputed Data'!R55)/'Imputed Data'!R55</f>
        <v>1.1604095563139854E-2</v>
      </c>
      <c r="S56" s="7">
        <f>('Imputed Data'!S56-'Imputed Data'!S55)/'Imputed Data'!S55</f>
        <v>5.776173285198638E-3</v>
      </c>
      <c r="T56" s="7">
        <f>('Imputed Data'!T56-'Imputed Data'!T55)/'Imputed Data'!T55</f>
        <v>3.0372057706910078E-3</v>
      </c>
      <c r="U56" s="7">
        <f>('Imputed Data'!U56-'Imputed Data'!U55)/'Imputed Data'!U55</f>
        <v>5.8181818181819011E-3</v>
      </c>
      <c r="V56" s="7">
        <f>('Imputed Data'!V56-'Imputed Data'!V55)/'Imputed Data'!V55</f>
        <v>9.1324200913241137E-3</v>
      </c>
      <c r="W56" s="7">
        <f>('Imputed Data'!W56-'Imputed Data'!W55)/'Imputed Data'!W55</f>
        <v>4.6583850931676577E-3</v>
      </c>
      <c r="X56" s="7">
        <f>('Imputed Data'!X56-'Imputed Data'!X55)/'Imputed Data'!X55</f>
        <v>5.3353658536586671E-3</v>
      </c>
      <c r="Y56" s="7">
        <f>('Imputed Data'!Y56-'Imputed Data'!Y55)/'Imputed Data'!Y55</f>
        <v>7.0038910505837021E-3</v>
      </c>
      <c r="Z56" s="7">
        <f>('Imputed Data'!Z56-'Imputed Data'!Z55)/'Imputed Data'!Z55</f>
        <v>-4.2918454935622317E-3</v>
      </c>
      <c r="AA56" s="7">
        <f>('Imputed Data'!AA56-'Imputed Data'!AA55)/'Imputed Data'!AA55</f>
        <v>5.5599682287528884E-3</v>
      </c>
      <c r="AB56" s="7">
        <f>('Imputed Data'!AB56-'Imputed Data'!AB55)/'Imputed Data'!AB55</f>
        <v>1.0339734121122641E-2</v>
      </c>
      <c r="AC56" s="7">
        <f>('Imputed Data'!AC56-'Imputed Data'!AC55)/'Imputed Data'!AC55</f>
        <v>1.6207455429496647E-3</v>
      </c>
      <c r="AD56" s="7">
        <f>('Imputed Data'!AD56-'Imputed Data'!AD55)/'Imputed Data'!AD55</f>
        <v>3.1872509960159815E-3</v>
      </c>
      <c r="AE56" s="7">
        <f>('Imputed Data'!AE56-'Imputed Data'!AE55)/'Imputed Data'!AE55</f>
        <v>1.666666666666658E-2</v>
      </c>
    </row>
    <row r="57" spans="1:31" x14ac:dyDescent="0.25">
      <c r="A57" s="1">
        <f>'Imputed Data'!A57</f>
        <v>42948</v>
      </c>
      <c r="B57" s="1" t="str">
        <f>'Imputed Data'!B57</f>
        <v>Rural+Urban</v>
      </c>
      <c r="C57" s="2">
        <f>'Imputed Data'!C57</f>
        <v>2017</v>
      </c>
      <c r="D57" s="1" t="str">
        <f>'Imputed Data'!D57</f>
        <v>August</v>
      </c>
      <c r="E57" s="7">
        <f>('Imputed Data'!E57-'Imputed Data'!E56)/'Imputed Data'!E56</f>
        <v>5.2395209580839604E-3</v>
      </c>
      <c r="F57" s="7">
        <f>('Imputed Data'!F57-'Imputed Data'!F56)/'Imputed Data'!F56</f>
        <v>-1.5785861358956644E-2</v>
      </c>
      <c r="G57" s="7">
        <f>('Imputed Data'!G57-'Imputed Data'!G56)/'Imputed Data'!G56</f>
        <v>-2.3148148148146833E-3</v>
      </c>
      <c r="H57" s="7">
        <f>('Imputed Data'!H57-'Imputed Data'!H56)/'Imputed Data'!H56</f>
        <v>3.6101083032490976E-3</v>
      </c>
      <c r="I57" s="7">
        <f>('Imputed Data'!I57-'Imputed Data'!I56)/'Imputed Data'!I56</f>
        <v>0</v>
      </c>
      <c r="J57" s="7">
        <f>('Imputed Data'!J57-'Imputed Data'!J56)/'Imputed Data'!J56</f>
        <v>2.6093088857545757E-2</v>
      </c>
      <c r="K57" s="7">
        <f>('Imputed Data'!K57-'Imputed Data'!K56)/'Imputed Data'!K56</f>
        <v>5.705329153605012E-2</v>
      </c>
      <c r="L57" s="7">
        <f>('Imputed Data'!L57-'Imputed Data'!L56)/'Imputed Data'!L56</f>
        <v>-6.7365269461078271E-3</v>
      </c>
      <c r="M57" s="7">
        <f>('Imputed Data'!M57-'Imputed Data'!M56)/'Imputed Data'!M56</f>
        <v>5.8091286307054178E-3</v>
      </c>
      <c r="N57" s="7">
        <f>('Imputed Data'!N57-'Imputed Data'!N56)/'Imputed Data'!N56</f>
        <v>2.9585798816568472E-3</v>
      </c>
      <c r="O57" s="7">
        <f>('Imputed Data'!O57-'Imputed Data'!O56)/'Imputed Data'!O56</f>
        <v>1.5564202334629464E-3</v>
      </c>
      <c r="P57" s="7">
        <f>('Imputed Data'!P57-'Imputed Data'!P56)/'Imputed Data'!P56</f>
        <v>6.8587105624142658E-3</v>
      </c>
      <c r="Q57" s="7">
        <f>('Imputed Data'!Q57-'Imputed Data'!Q56)/'Imputed Data'!Q56</f>
        <v>1.1510791366906433E-2</v>
      </c>
      <c r="R57" s="7">
        <f>('Imputed Data'!R57-'Imputed Data'!R56)/'Imputed Data'!R56</f>
        <v>1.0796221322537266E-2</v>
      </c>
      <c r="S57" s="7">
        <f>('Imputed Data'!S57-'Imputed Data'!S56)/'Imputed Data'!S56</f>
        <v>7.1787508973438618E-3</v>
      </c>
      <c r="T57" s="7">
        <f>('Imputed Data'!T57-'Imputed Data'!T56)/'Imputed Data'!T56</f>
        <v>6.8130204390613605E-3</v>
      </c>
      <c r="U57" s="7">
        <f>('Imputed Data'!U57-'Imputed Data'!U56)/'Imputed Data'!U56</f>
        <v>7.2306579898770785E-3</v>
      </c>
      <c r="V57" s="7">
        <f>('Imputed Data'!V57-'Imputed Data'!V56)/'Imputed Data'!V56</f>
        <v>1.357466063348425E-2</v>
      </c>
      <c r="W57" s="7">
        <f>('Imputed Data'!W57-'Imputed Data'!W56)/'Imputed Data'!W56</f>
        <v>3.0911901081916975E-3</v>
      </c>
      <c r="X57" s="7">
        <f>('Imputed Data'!X57-'Imputed Data'!X56)/'Imputed Data'!X56</f>
        <v>6.8233510235026964E-3</v>
      </c>
      <c r="Y57" s="7">
        <f>('Imputed Data'!Y57-'Imputed Data'!Y56)/'Imputed Data'!Y56</f>
        <v>6.1823802163831756E-3</v>
      </c>
      <c r="Z57" s="7">
        <f>('Imputed Data'!Z57-'Imputed Data'!Z56)/'Imputed Data'!Z56</f>
        <v>1.1206896551724113E-2</v>
      </c>
      <c r="AA57" s="7">
        <f>('Imputed Data'!AA57-'Imputed Data'!AA56)/'Imputed Data'!AA56</f>
        <v>5.5292259083728505E-3</v>
      </c>
      <c r="AB57" s="7">
        <f>('Imputed Data'!AB57-'Imputed Data'!AB56)/'Imputed Data'!AB56</f>
        <v>5.8479532163741438E-3</v>
      </c>
      <c r="AC57" s="7">
        <f>('Imputed Data'!AC57-'Imputed Data'!AC56)/'Imputed Data'!AC56</f>
        <v>7.2815533980582986E-3</v>
      </c>
      <c r="AD57" s="7">
        <f>('Imputed Data'!AD57-'Imputed Data'!AD56)/'Imputed Data'!AD56</f>
        <v>7.1485305798251898E-3</v>
      </c>
      <c r="AE57" s="7">
        <f>('Imputed Data'!AE57-'Imputed Data'!AE56)/'Imputed Data'!AE56</f>
        <v>8.9418777943369391E-3</v>
      </c>
    </row>
    <row r="58" spans="1:31" x14ac:dyDescent="0.25">
      <c r="A58" s="1">
        <f>'Imputed Data'!A58</f>
        <v>42979</v>
      </c>
      <c r="B58" s="1" t="str">
        <f>'Imputed Data'!B58</f>
        <v>Rural+Urban</v>
      </c>
      <c r="C58" s="2">
        <f>'Imputed Data'!C58</f>
        <v>2017</v>
      </c>
      <c r="D58" s="1" t="str">
        <f>'Imputed Data'!D58</f>
        <v>September</v>
      </c>
      <c r="E58" s="7">
        <f>('Imputed Data'!E58-'Imputed Data'!E57)/'Imputed Data'!E57</f>
        <v>2.9784065524942459E-3</v>
      </c>
      <c r="F58" s="7">
        <f>('Imputed Data'!F58-'Imputed Data'!F57)/'Imputed Data'!F57</f>
        <v>-6.9735006973500697E-3</v>
      </c>
      <c r="G58" s="7">
        <f>('Imputed Data'!G58-'Imputed Data'!G57)/'Imputed Data'!G57</f>
        <v>6.9605568445473874E-3</v>
      </c>
      <c r="H58" s="7">
        <f>('Imputed Data'!H58-'Imputed Data'!H57)/'Imputed Data'!H57</f>
        <v>4.3165467625898872E-3</v>
      </c>
      <c r="I58" s="7">
        <f>('Imputed Data'!I58-'Imputed Data'!I57)/'Imputed Data'!I57</f>
        <v>2.5402201524133057E-3</v>
      </c>
      <c r="J58" s="7">
        <f>('Imputed Data'!J58-'Imputed Data'!J57)/'Imputed Data'!J57</f>
        <v>-1.7182130584192441E-2</v>
      </c>
      <c r="K58" s="7">
        <f>('Imputed Data'!K58-'Imputed Data'!K57)/'Imputed Data'!K57</f>
        <v>-7.1174377224199295E-2</v>
      </c>
      <c r="L58" s="7">
        <f>('Imputed Data'!L58-'Imputed Data'!L57)/'Imputed Data'!L57</f>
        <v>1.5071590052751851E-3</v>
      </c>
      <c r="M58" s="7">
        <f>('Imputed Data'!M58-'Imputed Data'!M57)/'Imputed Data'!M57</f>
        <v>2.4752475247524519E-3</v>
      </c>
      <c r="N58" s="7">
        <f>('Imputed Data'!N58-'Imputed Data'!N57)/'Imputed Data'!N57</f>
        <v>0</v>
      </c>
      <c r="O58" s="7">
        <f>('Imputed Data'!O58-'Imputed Data'!O57)/'Imputed Data'!O57</f>
        <v>7.7700077700095373E-4</v>
      </c>
      <c r="P58" s="7">
        <f>('Imputed Data'!P58-'Imputed Data'!P57)/'Imputed Data'!P57</f>
        <v>3.4059945504087189E-3</v>
      </c>
      <c r="Q58" s="7">
        <f>('Imputed Data'!Q58-'Imputed Data'!Q57)/'Imputed Data'!Q57</f>
        <v>-1.1379800853485025E-2</v>
      </c>
      <c r="R58" s="7">
        <f>('Imputed Data'!R58-'Imputed Data'!R57)/'Imputed Data'!R57</f>
        <v>6.675567423230974E-3</v>
      </c>
      <c r="S58" s="7">
        <f>('Imputed Data'!S58-'Imputed Data'!S57)/'Imputed Data'!S57</f>
        <v>5.7020669992871196E-3</v>
      </c>
      <c r="T58" s="7">
        <f>('Imputed Data'!T58-'Imputed Data'!T57)/'Imputed Data'!T57</f>
        <v>3.0075187969925239E-3</v>
      </c>
      <c r="U58" s="7">
        <f>('Imputed Data'!U58-'Imputed Data'!U57)/'Imputed Data'!U57</f>
        <v>5.0251256281406212E-3</v>
      </c>
      <c r="V58" s="7">
        <f>('Imputed Data'!V58-'Imputed Data'!V57)/'Imputed Data'!V57</f>
        <v>9.6726190476189196E-3</v>
      </c>
      <c r="W58" s="7">
        <f>('Imputed Data'!W58-'Imputed Data'!W57)/'Imputed Data'!W57</f>
        <v>9.2449922958396658E-3</v>
      </c>
      <c r="X58" s="7">
        <f>('Imputed Data'!X58-'Imputed Data'!X57)/'Imputed Data'!X57</f>
        <v>3.765060240963855E-3</v>
      </c>
      <c r="Y58" s="7">
        <f>('Imputed Data'!Y58-'Imputed Data'!Y57)/'Imputed Data'!Y57</f>
        <v>3.0721966205837612E-3</v>
      </c>
      <c r="Z58" s="7">
        <f>('Imputed Data'!Z58-'Imputed Data'!Z57)/'Imputed Data'!Z57</f>
        <v>8.5251491901108273E-3</v>
      </c>
      <c r="AA58" s="7">
        <f>('Imputed Data'!AA58-'Imputed Data'!AA57)/'Imputed Data'!AA57</f>
        <v>4.713275726630075E-3</v>
      </c>
      <c r="AB58" s="7">
        <f>('Imputed Data'!AB58-'Imputed Data'!AB57)/'Imputed Data'!AB57</f>
        <v>-1.4534883720929406E-3</v>
      </c>
      <c r="AC58" s="7">
        <f>('Imputed Data'!AC58-'Imputed Data'!AC57)/'Imputed Data'!AC57</f>
        <v>9.6385542168674933E-3</v>
      </c>
      <c r="AD58" s="7">
        <f>('Imputed Data'!AD58-'Imputed Data'!AD57)/'Imputed Data'!AD57</f>
        <v>5.5205047318612217E-3</v>
      </c>
      <c r="AE58" s="7">
        <f>('Imputed Data'!AE58-'Imputed Data'!AE57)/'Imputed Data'!AE57</f>
        <v>-1.4771048744462115E-3</v>
      </c>
    </row>
    <row r="59" spans="1:31" x14ac:dyDescent="0.25">
      <c r="A59" s="1">
        <f>'Imputed Data'!A59</f>
        <v>43009</v>
      </c>
      <c r="B59" s="1" t="str">
        <f>'Imputed Data'!B59</f>
        <v>Rural+Urban</v>
      </c>
      <c r="C59" s="2">
        <f>'Imputed Data'!C59</f>
        <v>2017</v>
      </c>
      <c r="D59" s="1" t="str">
        <f>'Imputed Data'!D59</f>
        <v>October</v>
      </c>
      <c r="E59" s="7">
        <f>('Imputed Data'!E59-'Imputed Data'!E58)/'Imputed Data'!E58</f>
        <v>4.4543429844099685E-3</v>
      </c>
      <c r="F59" s="7">
        <f>('Imputed Data'!F59-'Imputed Data'!F58)/'Imputed Data'!F58</f>
        <v>-1.4044943820225916E-3</v>
      </c>
      <c r="G59" s="7">
        <f>('Imputed Data'!G59-'Imputed Data'!G58)/'Imputed Data'!G58</f>
        <v>7.6804915514592943E-3</v>
      </c>
      <c r="H59" s="7">
        <f>('Imputed Data'!H59-'Imputed Data'!H58)/'Imputed Data'!H58</f>
        <v>7.1633237822349575E-3</v>
      </c>
      <c r="I59" s="7">
        <f>('Imputed Data'!I59-'Imputed Data'!I58)/'Imputed Data'!I58</f>
        <v>5.0675675675675193E-3</v>
      </c>
      <c r="J59" s="7">
        <f>('Imputed Data'!J59-'Imputed Data'!J58)/'Imputed Data'!J58</f>
        <v>-1.048951048951049E-2</v>
      </c>
      <c r="K59" s="7">
        <f>('Imputed Data'!K59-'Imputed Data'!K58)/'Imputed Data'!K58</f>
        <v>3.8314176245210732E-2</v>
      </c>
      <c r="L59" s="7">
        <f>('Imputed Data'!L59-'Imputed Data'!L58)/'Imputed Data'!L58</f>
        <v>-4.5146726862302054E-3</v>
      </c>
      <c r="M59" s="7">
        <f>('Imputed Data'!M59-'Imputed Data'!M58)/'Imputed Data'!M58</f>
        <v>2.4691358024691123E-3</v>
      </c>
      <c r="N59" s="7">
        <f>('Imputed Data'!N59-'Imputed Data'!N58)/'Imputed Data'!N58</f>
        <v>5.1622418879057304E-3</v>
      </c>
      <c r="O59" s="7">
        <f>('Imputed Data'!O59-'Imputed Data'!O58)/'Imputed Data'!O58</f>
        <v>-7.7639751552812677E-4</v>
      </c>
      <c r="P59" s="7">
        <f>('Imputed Data'!P59-'Imputed Data'!P58)/'Imputed Data'!P58</f>
        <v>5.4310930074676364E-3</v>
      </c>
      <c r="Q59" s="7">
        <f>('Imputed Data'!Q59-'Imputed Data'!Q58)/'Imputed Data'!Q58</f>
        <v>7.9136690647481599E-3</v>
      </c>
      <c r="R59" s="7">
        <f>('Imputed Data'!R59-'Imputed Data'!R58)/'Imputed Data'!R58</f>
        <v>5.3050397877982946E-3</v>
      </c>
      <c r="S59" s="7">
        <f>('Imputed Data'!S59-'Imputed Data'!S58)/'Imputed Data'!S58</f>
        <v>6.3784549964564542E-3</v>
      </c>
      <c r="T59" s="7">
        <f>('Imputed Data'!T59-'Imputed Data'!T58)/'Imputed Data'!T58</f>
        <v>5.2473763118439922E-3</v>
      </c>
      <c r="U59" s="7">
        <f>('Imputed Data'!U59-'Imputed Data'!U58)/'Imputed Data'!U58</f>
        <v>5.7142857142857958E-3</v>
      </c>
      <c r="V59" s="7">
        <f>('Imputed Data'!V59-'Imputed Data'!V58)/'Imputed Data'!V58</f>
        <v>1.1790714812085651E-2</v>
      </c>
      <c r="W59" s="7">
        <f>('Imputed Data'!W59-'Imputed Data'!W58)/'Imputed Data'!W58</f>
        <v>9.160305343511364E-3</v>
      </c>
      <c r="X59" s="7">
        <f>('Imputed Data'!X59-'Imputed Data'!X58)/'Imputed Data'!X58</f>
        <v>2.250562640660037E-3</v>
      </c>
      <c r="Y59" s="7">
        <f>('Imputed Data'!Y59-'Imputed Data'!Y58)/'Imputed Data'!Y58</f>
        <v>5.3598774885146791E-3</v>
      </c>
      <c r="Z59" s="7">
        <f>('Imputed Data'!Z59-'Imputed Data'!Z58)/'Imputed Data'!Z58</f>
        <v>-4.22654268808115E-3</v>
      </c>
      <c r="AA59" s="7">
        <f>('Imputed Data'!AA59-'Imputed Data'!AA58)/'Imputed Data'!AA58</f>
        <v>3.9093041438623922E-3</v>
      </c>
      <c r="AB59" s="7">
        <f>('Imputed Data'!AB59-'Imputed Data'!AB58)/'Imputed Data'!AB58</f>
        <v>3.6390101892285298E-3</v>
      </c>
      <c r="AC59" s="7">
        <f>('Imputed Data'!AC59-'Imputed Data'!AC58)/'Imputed Data'!AC58</f>
        <v>3.977724741447892E-3</v>
      </c>
      <c r="AD59" s="7">
        <f>('Imputed Data'!AD59-'Imputed Data'!AD58)/'Imputed Data'!AD58</f>
        <v>1.5686274509804144E-3</v>
      </c>
      <c r="AE59" s="7">
        <f>('Imputed Data'!AE59-'Imputed Data'!AE58)/'Imputed Data'!AE58</f>
        <v>6.6568047337278533E-3</v>
      </c>
    </row>
    <row r="60" spans="1:31" x14ac:dyDescent="0.25">
      <c r="A60" s="1">
        <f>'Imputed Data'!A60</f>
        <v>43040</v>
      </c>
      <c r="B60" s="1" t="str">
        <f>'Imputed Data'!B60</f>
        <v>Rural+Urban</v>
      </c>
      <c r="C60" s="2">
        <f>'Imputed Data'!C60</f>
        <v>2017</v>
      </c>
      <c r="D60" s="1" t="str">
        <f>'Imputed Data'!D60</f>
        <v>November</v>
      </c>
      <c r="E60" s="7">
        <f>('Imputed Data'!E60-'Imputed Data'!E59)/'Imputed Data'!E59</f>
        <v>2.956393200295471E-3</v>
      </c>
      <c r="F60" s="7">
        <f>('Imputed Data'!F60-'Imputed Data'!F59)/'Imputed Data'!F59</f>
        <v>1.4064697609002606E-3</v>
      </c>
      <c r="G60" s="7">
        <f>('Imputed Data'!G60-'Imputed Data'!G59)/'Imputed Data'!G59</f>
        <v>8.9176829268292818E-2</v>
      </c>
      <c r="H60" s="7">
        <f>('Imputed Data'!H60-'Imputed Data'!H59)/'Imputed Data'!H59</f>
        <v>1.4224751066857543E-3</v>
      </c>
      <c r="I60" s="7">
        <f>('Imputed Data'!I60-'Imputed Data'!I59)/'Imputed Data'!I59</f>
        <v>1.680672268907587E-3</v>
      </c>
      <c r="J60" s="7">
        <f>('Imputed Data'!J60-'Imputed Data'!J59)/'Imputed Data'!J59</f>
        <v>4.9469964664310149E-3</v>
      </c>
      <c r="K60" s="7">
        <f>('Imputed Data'!K60-'Imputed Data'!K59)/'Imputed Data'!K59</f>
        <v>6.8880688806888177E-2</v>
      </c>
      <c r="L60" s="7">
        <f>('Imputed Data'!L60-'Imputed Data'!L59)/'Imputed Data'!L59</f>
        <v>-8.3144368858656288E-3</v>
      </c>
      <c r="M60" s="7">
        <f>('Imputed Data'!M60-'Imputed Data'!M59)/'Imputed Data'!M59</f>
        <v>9.8522167487684973E-3</v>
      </c>
      <c r="N60" s="7">
        <f>('Imputed Data'!N60-'Imputed Data'!N59)/'Imputed Data'!N59</f>
        <v>3.6683785766691121E-3</v>
      </c>
      <c r="O60" s="7">
        <f>('Imputed Data'!O60-'Imputed Data'!O59)/'Imputed Data'!O59</f>
        <v>3.8850038850038854E-3</v>
      </c>
      <c r="P60" s="7">
        <f>('Imputed Data'!P60-'Imputed Data'!P59)/'Imputed Data'!P59</f>
        <v>5.4017555705605088E-3</v>
      </c>
      <c r="Q60" s="7">
        <f>('Imputed Data'!Q60-'Imputed Data'!Q59)/'Imputed Data'!Q59</f>
        <v>1.4275517487508924E-2</v>
      </c>
      <c r="R60" s="7">
        <f>('Imputed Data'!R60-'Imputed Data'!R59)/'Imputed Data'!R59</f>
        <v>1.0554089709762496E-2</v>
      </c>
      <c r="S60" s="7">
        <f>('Imputed Data'!S60-'Imputed Data'!S59)/'Imputed Data'!S59</f>
        <v>7.0422535211267607E-3</v>
      </c>
      <c r="T60" s="7">
        <f>('Imputed Data'!T60-'Imputed Data'!T59)/'Imputed Data'!T59</f>
        <v>5.2199850857570255E-3</v>
      </c>
      <c r="U60" s="7">
        <f>('Imputed Data'!U60-'Imputed Data'!U59)/'Imputed Data'!U59</f>
        <v>7.102272727272727E-3</v>
      </c>
      <c r="V60" s="7">
        <f>('Imputed Data'!V60-'Imputed Data'!V59)/'Imputed Data'!V59</f>
        <v>9.4683175528039541E-3</v>
      </c>
      <c r="W60" s="7">
        <f>('Imputed Data'!W60-'Imputed Data'!W59)/'Imputed Data'!W59</f>
        <v>2.3449319213313335E-2</v>
      </c>
      <c r="X60" s="7">
        <f>('Imputed Data'!X60-'Imputed Data'!X59)/'Imputed Data'!X59</f>
        <v>5.9880239520958937E-3</v>
      </c>
      <c r="Y60" s="7">
        <f>('Imputed Data'!Y60-'Imputed Data'!Y59)/'Imputed Data'!Y59</f>
        <v>9.900990099009771E-3</v>
      </c>
      <c r="Z60" s="7">
        <f>('Imputed Data'!Z60-'Imputed Data'!Z59)/'Imputed Data'!Z59</f>
        <v>4.2444821731748728E-3</v>
      </c>
      <c r="AA60" s="7">
        <f>('Imputed Data'!AA60-'Imputed Data'!AA59)/'Imputed Data'!AA59</f>
        <v>3.8940809968847352E-3</v>
      </c>
      <c r="AB60" s="7">
        <f>('Imputed Data'!AB60-'Imputed Data'!AB59)/'Imputed Data'!AB59</f>
        <v>5.0761421319796126E-3</v>
      </c>
      <c r="AC60" s="7">
        <f>('Imputed Data'!AC60-'Imputed Data'!AC59)/'Imputed Data'!AC59</f>
        <v>4.7543581616481326E-3</v>
      </c>
      <c r="AD60" s="7">
        <f>('Imputed Data'!AD60-'Imputed Data'!AD59)/'Imputed Data'!AD59</f>
        <v>5.4815974941268822E-3</v>
      </c>
      <c r="AE60" s="7">
        <f>('Imputed Data'!AE60-'Imputed Data'!AE59)/'Imputed Data'!AE59</f>
        <v>1.1021307861866276E-2</v>
      </c>
    </row>
    <row r="61" spans="1:31" x14ac:dyDescent="0.25">
      <c r="A61" s="1">
        <f>'Imputed Data'!A61</f>
        <v>43070</v>
      </c>
      <c r="B61" s="1" t="str">
        <f>'Imputed Data'!B61</f>
        <v>Rural+Urban</v>
      </c>
      <c r="C61" s="2">
        <f>'Imputed Data'!C61</f>
        <v>2017</v>
      </c>
      <c r="D61" s="1" t="str">
        <f>'Imputed Data'!D61</f>
        <v>December</v>
      </c>
      <c r="E61" s="7">
        <f>('Imputed Data'!E61-'Imputed Data'!E60)/'Imputed Data'!E60</f>
        <v>7.369196757555103E-4</v>
      </c>
      <c r="F61" s="7">
        <f>('Imputed Data'!F61-'Imputed Data'!F60)/'Imputed Data'!F60</f>
        <v>6.3202247191011633E-3</v>
      </c>
      <c r="G61" s="7">
        <f>('Imputed Data'!G61-'Imputed Data'!G60)/'Imputed Data'!G60</f>
        <v>1.6095171448565312E-2</v>
      </c>
      <c r="H61" s="7">
        <f>('Imputed Data'!H61-'Imputed Data'!H60)/'Imputed Data'!H60</f>
        <v>1.4204545454544646E-3</v>
      </c>
      <c r="I61" s="7">
        <f>('Imputed Data'!I61-'Imputed Data'!I60)/'Imputed Data'!I60</f>
        <v>1.0906040268456351E-2</v>
      </c>
      <c r="J61" s="7">
        <f>('Imputed Data'!J61-'Imputed Data'!J60)/'Imputed Data'!J60</f>
        <v>-4.9226441631504128E-3</v>
      </c>
      <c r="K61" s="7">
        <f>('Imputed Data'!K61-'Imputed Data'!K60)/'Imputed Data'!K60</f>
        <v>-6.9620253164557083E-2</v>
      </c>
      <c r="L61" s="7">
        <f>('Imputed Data'!L61-'Imputed Data'!L60)/'Imputed Data'!L60</f>
        <v>-1.6006097560975568E-2</v>
      </c>
      <c r="M61" s="7">
        <f>('Imputed Data'!M61-'Imputed Data'!M60)/'Imputed Data'!M60</f>
        <v>-1.2195121951219513E-2</v>
      </c>
      <c r="N61" s="7">
        <f>('Imputed Data'!N61-'Imputed Data'!N60)/'Imputed Data'!N60</f>
        <v>2.1929824561402259E-3</v>
      </c>
      <c r="O61" s="7">
        <f>('Imputed Data'!O61-'Imputed Data'!O60)/'Imputed Data'!O60</f>
        <v>-3.0959752321979665E-3</v>
      </c>
      <c r="P61" s="7">
        <f>('Imputed Data'!P61-'Imputed Data'!P60)/'Imputed Data'!P60</f>
        <v>6.7159167226322569E-4</v>
      </c>
      <c r="Q61" s="7">
        <f>('Imputed Data'!Q61-'Imputed Data'!Q60)/'Imputed Data'!Q60</f>
        <v>-1.1259676284306786E-2</v>
      </c>
      <c r="R61" s="7">
        <f>('Imputed Data'!R61-'Imputed Data'!R60)/'Imputed Data'!R60</f>
        <v>6.5274151436031337E-3</v>
      </c>
      <c r="S61" s="7">
        <f>('Imputed Data'!S61-'Imputed Data'!S60)/'Imputed Data'!S60</f>
        <v>6.9930069930065951E-4</v>
      </c>
      <c r="T61" s="7">
        <f>('Imputed Data'!T61-'Imputed Data'!T60)/'Imputed Data'!T60</f>
        <v>2.2255192878337013E-3</v>
      </c>
      <c r="U61" s="7">
        <f>('Imputed Data'!U61-'Imputed Data'!U60)/'Imputed Data'!U60</f>
        <v>1.4104372355429381E-3</v>
      </c>
      <c r="V61" s="7">
        <f>('Imputed Data'!V61-'Imputed Data'!V60)/'Imputed Data'!V60</f>
        <v>3.6075036075036075E-3</v>
      </c>
      <c r="W61" s="7">
        <f>('Imputed Data'!W61-'Imputed Data'!W60)/'Imputed Data'!W60</f>
        <v>9.6082779009607003E-3</v>
      </c>
      <c r="X61" s="7">
        <f>('Imputed Data'!X61-'Imputed Data'!X60)/'Imputed Data'!X60</f>
        <v>2.23214285714273E-3</v>
      </c>
      <c r="Y61" s="7">
        <f>('Imputed Data'!Y61-'Imputed Data'!Y60)/'Imputed Data'!Y60</f>
        <v>3.770739064856712E-3</v>
      </c>
      <c r="Z61" s="7">
        <f>('Imputed Data'!Z61-'Imputed Data'!Z60)/'Imputed Data'!Z60</f>
        <v>1.6906170752324838E-3</v>
      </c>
      <c r="AA61" s="7">
        <f>('Imputed Data'!AA61-'Imputed Data'!AA60)/'Imputed Data'!AA60</f>
        <v>7.7579519006977743E-4</v>
      </c>
      <c r="AB61" s="7">
        <f>('Imputed Data'!AB61-'Imputed Data'!AB60)/'Imputed Data'!AB60</f>
        <v>-7.2150072150068052E-4</v>
      </c>
      <c r="AC61" s="7">
        <f>('Imputed Data'!AC61-'Imputed Data'!AC60)/'Imputed Data'!AC60</f>
        <v>-2.3659305993690627E-3</v>
      </c>
      <c r="AD61" s="7">
        <f>('Imputed Data'!AD61-'Imputed Data'!AD60)/'Imputed Data'!AD60</f>
        <v>1.5576323987538056E-3</v>
      </c>
      <c r="AE61" s="7">
        <f>('Imputed Data'!AE61-'Imputed Data'!AE60)/'Imputed Data'!AE60</f>
        <v>-2.9069767441860881E-3</v>
      </c>
    </row>
    <row r="62" spans="1:31" x14ac:dyDescent="0.25">
      <c r="A62" s="1">
        <f>'Imputed Data'!A62</f>
        <v>43101</v>
      </c>
      <c r="B62" s="1" t="str">
        <f>'Imputed Data'!B62</f>
        <v>Rural+Urban</v>
      </c>
      <c r="C62" s="2">
        <f>'Imputed Data'!C62</f>
        <v>2018</v>
      </c>
      <c r="D62" s="1" t="str">
        <f>'Imputed Data'!D62</f>
        <v>January</v>
      </c>
      <c r="E62" s="7">
        <f>('Imputed Data'!E62-'Imputed Data'!E61)/'Imputed Data'!E61</f>
        <v>1.4727540500735538E-3</v>
      </c>
      <c r="F62" s="7">
        <f>('Imputed Data'!F62-'Imputed Data'!F61)/'Imputed Data'!F61</f>
        <v>6.2805303558965608E-3</v>
      </c>
      <c r="G62" s="7">
        <f>('Imputed Data'!G62-'Imputed Data'!G61)/'Imputed Data'!G61</f>
        <v>-1.0330578512396695E-2</v>
      </c>
      <c r="H62" s="7">
        <f>('Imputed Data'!H62-'Imputed Data'!H61)/'Imputed Data'!H61</f>
        <v>7.0921985815598808E-4</v>
      </c>
      <c r="I62" s="7">
        <f>('Imputed Data'!I62-'Imputed Data'!I61)/'Imputed Data'!I61</f>
        <v>1.6597510373444219E-3</v>
      </c>
      <c r="J62" s="7">
        <f>('Imputed Data'!J62-'Imputed Data'!J61)/'Imputed Data'!J61</f>
        <v>-1.4134275618373755E-3</v>
      </c>
      <c r="K62" s="7">
        <f>('Imputed Data'!K62-'Imputed Data'!K61)/'Imputed Data'!K61</f>
        <v>-6.2461348175633861E-2</v>
      </c>
      <c r="L62" s="7">
        <f>('Imputed Data'!L62-'Imputed Data'!L61)/'Imputed Data'!L61</f>
        <v>-1.3942680092951179E-2</v>
      </c>
      <c r="M62" s="7">
        <f>('Imputed Data'!M62-'Imputed Data'!M61)/'Imputed Data'!M61</f>
        <v>-2.2222222222222244E-2</v>
      </c>
      <c r="N62" s="7">
        <f>('Imputed Data'!N62-'Imputed Data'!N61)/'Imputed Data'!N61</f>
        <v>2.9175784099198083E-3</v>
      </c>
      <c r="O62" s="7">
        <f>('Imputed Data'!O62-'Imputed Data'!O61)/'Imputed Data'!O61</f>
        <v>1.5527950310558123E-3</v>
      </c>
      <c r="P62" s="7">
        <f>('Imputed Data'!P62-'Imputed Data'!P61)/'Imputed Data'!P61</f>
        <v>3.3557046979865771E-3</v>
      </c>
      <c r="Q62" s="7">
        <f>('Imputed Data'!Q62-'Imputed Data'!Q61)/'Imputed Data'!Q61</f>
        <v>-9.2526690391459884E-3</v>
      </c>
      <c r="R62" s="7">
        <f>('Imputed Data'!R62-'Imputed Data'!R61)/'Imputed Data'!R61</f>
        <v>3.2425421530479898E-3</v>
      </c>
      <c r="S62" s="7">
        <f>('Imputed Data'!S62-'Imputed Data'!S61)/'Imputed Data'!S61</f>
        <v>2.795248078266986E-3</v>
      </c>
      <c r="T62" s="7">
        <f>('Imputed Data'!T62-'Imputed Data'!T61)/'Imputed Data'!T61</f>
        <v>2.9607698001480809E-3</v>
      </c>
      <c r="U62" s="7">
        <f>('Imputed Data'!U62-'Imputed Data'!U61)/'Imputed Data'!U61</f>
        <v>2.1126760563381082E-3</v>
      </c>
      <c r="V62" s="7">
        <f>('Imputed Data'!V62-'Imputed Data'!V61)/'Imputed Data'!V61</f>
        <v>9.3457943925234471E-3</v>
      </c>
      <c r="W62" s="7">
        <f>('Imputed Data'!W62-'Imputed Data'!W61)/'Imputed Data'!W61</f>
        <v>0</v>
      </c>
      <c r="X62" s="7">
        <f>('Imputed Data'!X62-'Imputed Data'!X61)/'Imputed Data'!X61</f>
        <v>1.4847809948033933E-3</v>
      </c>
      <c r="Y62" s="7">
        <f>('Imputed Data'!Y62-'Imputed Data'!Y61)/'Imputed Data'!Y61</f>
        <v>1.5026296018032838E-3</v>
      </c>
      <c r="Z62" s="7">
        <f>('Imputed Data'!Z62-'Imputed Data'!Z61)/'Imputed Data'!Z61</f>
        <v>6.7510548523206509E-3</v>
      </c>
      <c r="AA62" s="7">
        <f>('Imputed Data'!AA62-'Imputed Data'!AA61)/'Imputed Data'!AA61</f>
        <v>5.4263565891471983E-3</v>
      </c>
      <c r="AB62" s="7">
        <f>('Imputed Data'!AB62-'Imputed Data'!AB61)/'Imputed Data'!AB61</f>
        <v>3.6101083032490976E-3</v>
      </c>
      <c r="AC62" s="7">
        <f>('Imputed Data'!AC62-'Imputed Data'!AC61)/'Imputed Data'!AC61</f>
        <v>6.3241106719367363E-3</v>
      </c>
      <c r="AD62" s="7">
        <f>('Imputed Data'!AD62-'Imputed Data'!AD61)/'Imputed Data'!AD61</f>
        <v>3.8880248833592537E-3</v>
      </c>
      <c r="AE62" s="7">
        <f>('Imputed Data'!AE62-'Imputed Data'!AE61)/'Imputed Data'!AE61</f>
        <v>-2.1865889212826749E-3</v>
      </c>
    </row>
    <row r="63" spans="1:31" x14ac:dyDescent="0.25">
      <c r="A63" s="1">
        <f>'Imputed Data'!A63</f>
        <v>43132</v>
      </c>
      <c r="B63" s="1" t="str">
        <f>'Imputed Data'!B63</f>
        <v>Rural+Urban</v>
      </c>
      <c r="C63" s="2">
        <f>'Imputed Data'!C63</f>
        <v>2018</v>
      </c>
      <c r="D63" s="1" t="str">
        <f>'Imputed Data'!D63</f>
        <v>February</v>
      </c>
      <c r="E63" s="7">
        <f>('Imputed Data'!E63-'Imputed Data'!E62)/'Imputed Data'!E62</f>
        <v>-7.3529411764701707E-4</v>
      </c>
      <c r="F63" s="7">
        <f>('Imputed Data'!F63-'Imputed Data'!F62)/'Imputed Data'!F62</f>
        <v>-4.8543689320387565E-3</v>
      </c>
      <c r="G63" s="7">
        <f>('Imputed Data'!G63-'Imputed Data'!G62)/'Imputed Data'!G62</f>
        <v>-2.3660403618649808E-2</v>
      </c>
      <c r="H63" s="7">
        <f>('Imputed Data'!H63-'Imputed Data'!H62)/'Imputed Data'!H62</f>
        <v>-1.4174344436569002E-3</v>
      </c>
      <c r="I63" s="7">
        <f>('Imputed Data'!I63-'Imputed Data'!I62)/'Imputed Data'!I62</f>
        <v>-2.4855012427505976E-3</v>
      </c>
      <c r="J63" s="7">
        <f>('Imputed Data'!J63-'Imputed Data'!J62)/'Imputed Data'!J62</f>
        <v>1.1323425336164148E-2</v>
      </c>
      <c r="K63" s="7">
        <f>('Imputed Data'!K63-'Imputed Data'!K62)/'Imputed Data'!K62</f>
        <v>-7.3218997361477536E-2</v>
      </c>
      <c r="L63" s="7">
        <f>('Imputed Data'!L63-'Imputed Data'!L62)/'Imputed Data'!L62</f>
        <v>-1.1783189316575019E-2</v>
      </c>
      <c r="M63" s="7">
        <f>('Imputed Data'!M63-'Imputed Data'!M62)/'Imputed Data'!M62</f>
        <v>-1.4309764309764335E-2</v>
      </c>
      <c r="N63" s="7">
        <f>('Imputed Data'!N63-'Imputed Data'!N62)/'Imputed Data'!N62</f>
        <v>-1.4545454545453718E-3</v>
      </c>
      <c r="O63" s="7">
        <f>('Imputed Data'!O63-'Imputed Data'!O62)/'Imputed Data'!O62</f>
        <v>-3.1007751937984938E-3</v>
      </c>
      <c r="P63" s="7">
        <f>('Imputed Data'!P63-'Imputed Data'!P62)/'Imputed Data'!P62</f>
        <v>6.6889632107019613E-4</v>
      </c>
      <c r="Q63" s="7">
        <f>('Imputed Data'!Q63-'Imputed Data'!Q62)/'Imputed Data'!Q62</f>
        <v>-1.1494252873563178E-2</v>
      </c>
      <c r="R63" s="7">
        <f>('Imputed Data'!R63-'Imputed Data'!R62)/'Imputed Data'!R62</f>
        <v>1.2928248222366973E-3</v>
      </c>
      <c r="S63" s="7">
        <f>('Imputed Data'!S63-'Imputed Data'!S62)/'Imputed Data'!S62</f>
        <v>2.0905923344948529E-3</v>
      </c>
      <c r="T63" s="7">
        <f>('Imputed Data'!T63-'Imputed Data'!T62)/'Imputed Data'!T62</f>
        <v>7.3800738007375876E-4</v>
      </c>
      <c r="U63" s="7">
        <f>('Imputed Data'!U63-'Imputed Data'!U62)/'Imputed Data'!U62</f>
        <v>2.1082220660575048E-3</v>
      </c>
      <c r="V63" s="7">
        <f>('Imputed Data'!V63-'Imputed Data'!V62)/'Imputed Data'!V62</f>
        <v>6.4102564102564508E-3</v>
      </c>
      <c r="W63" s="7">
        <f>('Imputed Data'!W63-'Imputed Data'!W62)/'Imputed Data'!W62</f>
        <v>7.3206442166906527E-4</v>
      </c>
      <c r="X63" s="7">
        <f>('Imputed Data'!X63-'Imputed Data'!X62)/'Imputed Data'!X62</f>
        <v>2.2238695329872714E-3</v>
      </c>
      <c r="Y63" s="7">
        <f>('Imputed Data'!Y63-'Imputed Data'!Y62)/'Imputed Data'!Y62</f>
        <v>3.7509377344336079E-3</v>
      </c>
      <c r="Z63" s="7">
        <f>('Imputed Data'!Z63-'Imputed Data'!Z62)/'Imputed Data'!Z62</f>
        <v>7.5440067057837863E-3</v>
      </c>
      <c r="AA63" s="7">
        <f>('Imputed Data'!AA63-'Imputed Data'!AA62)/'Imputed Data'!AA62</f>
        <v>1.5420200462607329E-3</v>
      </c>
      <c r="AB63" s="7">
        <f>('Imputed Data'!AB63-'Imputed Data'!AB62)/'Imputed Data'!AB62</f>
        <v>0</v>
      </c>
      <c r="AC63" s="7">
        <f>('Imputed Data'!AC63-'Imputed Data'!AC62)/'Imputed Data'!AC62</f>
        <v>3.1421838177533835E-3</v>
      </c>
      <c r="AD63" s="7">
        <f>('Imputed Data'!AD63-'Imputed Data'!AD62)/'Imputed Data'!AD62</f>
        <v>3.8729666924864447E-3</v>
      </c>
      <c r="AE63" s="7">
        <f>('Imputed Data'!AE63-'Imputed Data'!AE62)/'Imputed Data'!AE62</f>
        <v>-3.6523009495982466E-3</v>
      </c>
    </row>
    <row r="64" spans="1:31" x14ac:dyDescent="0.25">
      <c r="A64" s="1">
        <f>'Imputed Data'!A64</f>
        <v>43160</v>
      </c>
      <c r="B64" s="1" t="str">
        <f>'Imputed Data'!B64</f>
        <v>Rural+Urban</v>
      </c>
      <c r="C64" s="2">
        <f>'Imputed Data'!C64</f>
        <v>2018</v>
      </c>
      <c r="D64" s="1" t="str">
        <f>'Imputed Data'!D64</f>
        <v>March</v>
      </c>
      <c r="E64" s="7">
        <f>('Imputed Data'!E64-'Imputed Data'!E63)/'Imputed Data'!E63</f>
        <v>2.2075055187636711E-3</v>
      </c>
      <c r="F64" s="7">
        <f>('Imputed Data'!F64-'Imputed Data'!F63)/'Imputed Data'!F63</f>
        <v>6.9686411149821827E-4</v>
      </c>
      <c r="G64" s="7">
        <f>('Imputed Data'!G64-'Imputed Data'!G63)/'Imputed Data'!G63</f>
        <v>-1.4255167498218103E-2</v>
      </c>
      <c r="H64" s="7">
        <f>('Imputed Data'!H64-'Imputed Data'!H63)/'Imputed Data'!H63</f>
        <v>2.1291696238465788E-3</v>
      </c>
      <c r="I64" s="7">
        <f>('Imputed Data'!I64-'Imputed Data'!I63)/'Imputed Data'!I63</f>
        <v>2.4916943521594449E-3</v>
      </c>
      <c r="J64" s="7">
        <f>('Imputed Data'!J64-'Imputed Data'!J63)/'Imputed Data'!J63</f>
        <v>2.3093072078376367E-2</v>
      </c>
      <c r="K64" s="7">
        <f>('Imputed Data'!K64-'Imputed Data'!K63)/'Imputed Data'!K63</f>
        <v>-4.1992882562277623E-2</v>
      </c>
      <c r="L64" s="7">
        <f>('Imputed Data'!L64-'Imputed Data'!L63)/'Imputed Data'!L63</f>
        <v>-9.5389507154213272E-3</v>
      </c>
      <c r="M64" s="7">
        <f>('Imputed Data'!M64-'Imputed Data'!M63)/'Imputed Data'!M63</f>
        <v>-8.539709649871904E-3</v>
      </c>
      <c r="N64" s="7">
        <f>('Imputed Data'!N64-'Imputed Data'!N63)/'Imputed Data'!N63</f>
        <v>3.6416605972323375E-3</v>
      </c>
      <c r="O64" s="7">
        <f>('Imputed Data'!O64-'Imputed Data'!O63)/'Imputed Data'!O63</f>
        <v>3.8880248833592537E-3</v>
      </c>
      <c r="P64" s="7">
        <f>('Imputed Data'!P64-'Imputed Data'!P63)/'Imputed Data'!P63</f>
        <v>5.3475935828877766E-3</v>
      </c>
      <c r="Q64" s="7">
        <f>('Imputed Data'!Q64-'Imputed Data'!Q63)/'Imputed Data'!Q63</f>
        <v>-2.9069767441860881E-3</v>
      </c>
      <c r="R64" s="7">
        <f>('Imputed Data'!R64-'Imputed Data'!R63)/'Imputed Data'!R63</f>
        <v>9.0380890897353502E-3</v>
      </c>
      <c r="S64" s="7">
        <f>('Imputed Data'!S64-'Imputed Data'!S63)/'Imputed Data'!S63</f>
        <v>3.4770514603616131E-3</v>
      </c>
      <c r="T64" s="7">
        <f>('Imputed Data'!T64-'Imputed Data'!T63)/'Imputed Data'!T63</f>
        <v>4.4247787610619052E-3</v>
      </c>
      <c r="U64" s="7">
        <f>('Imputed Data'!U64-'Imputed Data'!U63)/'Imputed Data'!U63</f>
        <v>3.5063113604488082E-3</v>
      </c>
      <c r="V64" s="7">
        <f>('Imputed Data'!V64-'Imputed Data'!V63)/'Imputed Data'!V63</f>
        <v>4.9539985845717524E-3</v>
      </c>
      <c r="W64" s="7">
        <f>('Imputed Data'!W64-'Imputed Data'!W63)/'Imputed Data'!W63</f>
        <v>-1.4630577907826529E-3</v>
      </c>
      <c r="X64" s="7">
        <f>('Imputed Data'!X64-'Imputed Data'!X63)/'Imputed Data'!X63</f>
        <v>2.9585798816568472E-3</v>
      </c>
      <c r="Y64" s="7">
        <f>('Imputed Data'!Y64-'Imputed Data'!Y63)/'Imputed Data'!Y63</f>
        <v>3.7369207772795215E-3</v>
      </c>
      <c r="Z64" s="7">
        <f>('Imputed Data'!Z64-'Imputed Data'!Z63)/'Imputed Data'!Z63</f>
        <v>6.6555740432612072E-3</v>
      </c>
      <c r="AA64" s="7">
        <f>('Imputed Data'!AA64-'Imputed Data'!AA63)/'Imputed Data'!AA63</f>
        <v>3.8491147036181675E-3</v>
      </c>
      <c r="AB64" s="7">
        <f>('Imputed Data'!AB64-'Imputed Data'!AB63)/'Imputed Data'!AB63</f>
        <v>5.7553956834533191E-3</v>
      </c>
      <c r="AC64" s="7">
        <f>('Imputed Data'!AC64-'Imputed Data'!AC63)/'Imputed Data'!AC63</f>
        <v>3.9154267815190739E-3</v>
      </c>
      <c r="AD64" s="7">
        <f>('Imputed Data'!AD64-'Imputed Data'!AD63)/'Imputed Data'!AD63</f>
        <v>5.4012345679013661E-3</v>
      </c>
      <c r="AE64" s="7">
        <f>('Imputed Data'!AE64-'Imputed Data'!AE63)/'Imputed Data'!AE63</f>
        <v>7.3313782991198172E-4</v>
      </c>
    </row>
    <row r="65" spans="1:31" x14ac:dyDescent="0.25">
      <c r="A65" s="1">
        <f>'Imputed Data'!A65</f>
        <v>43191</v>
      </c>
      <c r="B65" s="1" t="str">
        <f>'Imputed Data'!B65</f>
        <v>Rural+Urban</v>
      </c>
      <c r="C65" s="2">
        <f>'Imputed Data'!C65</f>
        <v>2018</v>
      </c>
      <c r="D65" s="1" t="str">
        <f>'Imputed Data'!D65</f>
        <v>April</v>
      </c>
      <c r="E65" s="7">
        <f>('Imputed Data'!E65-'Imputed Data'!E64)/'Imputed Data'!E64</f>
        <v>1.4684287812042369E-3</v>
      </c>
      <c r="F65" s="7">
        <f>('Imputed Data'!F65-'Imputed Data'!F64)/'Imputed Data'!F64</f>
        <v>5.5710306406686035E-3</v>
      </c>
      <c r="G65" s="7">
        <f>('Imputed Data'!G65-'Imputed Data'!G64)/'Imputed Data'!G64</f>
        <v>-3.1814895155459183E-2</v>
      </c>
      <c r="H65" s="7">
        <f>('Imputed Data'!H65-'Imputed Data'!H64)/'Imputed Data'!H64</f>
        <v>2.8328611898017402E-3</v>
      </c>
      <c r="I65" s="7">
        <f>('Imputed Data'!I65-'Imputed Data'!I64)/'Imputed Data'!I64</f>
        <v>2.4855012427505976E-3</v>
      </c>
      <c r="J65" s="7">
        <f>('Imputed Data'!J65-'Imputed Data'!J64)/'Imputed Data'!J64</f>
        <v>4.9931600547195705E-2</v>
      </c>
      <c r="K65" s="7">
        <f>('Imputed Data'!K65-'Imputed Data'!K64)/'Imputed Data'!K64</f>
        <v>-1.485884101040119E-2</v>
      </c>
      <c r="L65" s="7">
        <f>('Imputed Data'!L65-'Imputed Data'!L64)/'Imputed Data'!L64</f>
        <v>-8.8282504012840643E-3</v>
      </c>
      <c r="M65" s="7">
        <f>('Imputed Data'!M65-'Imputed Data'!M64)/'Imputed Data'!M64</f>
        <v>-2.0671834625322925E-2</v>
      </c>
      <c r="N65" s="7">
        <f>('Imputed Data'!N65-'Imputed Data'!N64)/'Imputed Data'!N64</f>
        <v>2.9027576197385866E-3</v>
      </c>
      <c r="O65" s="7">
        <f>('Imputed Data'!O65-'Imputed Data'!O64)/'Imputed Data'!O64</f>
        <v>3.8729666924864447E-3</v>
      </c>
      <c r="P65" s="7">
        <f>('Imputed Data'!P65-'Imputed Data'!P64)/'Imputed Data'!P64</f>
        <v>5.319148936170099E-3</v>
      </c>
      <c r="Q65" s="7">
        <f>('Imputed Data'!Q65-'Imputed Data'!Q64)/'Imputed Data'!Q64</f>
        <v>2.1865889212828817E-3</v>
      </c>
      <c r="R65" s="7">
        <f>('Imputed Data'!R65-'Imputed Data'!R64)/'Imputed Data'!R64</f>
        <v>3.8387715930901746E-3</v>
      </c>
      <c r="S65" s="7">
        <f>('Imputed Data'!S65-'Imputed Data'!S64)/'Imputed Data'!S64</f>
        <v>6.9300069300069298E-3</v>
      </c>
      <c r="T65" s="7">
        <f>('Imputed Data'!T65-'Imputed Data'!T64)/'Imputed Data'!T64</f>
        <v>3.6710719530102793E-3</v>
      </c>
      <c r="U65" s="7">
        <f>('Imputed Data'!U65-'Imputed Data'!U64)/'Imputed Data'!U64</f>
        <v>6.2893081761006692E-3</v>
      </c>
      <c r="V65" s="7">
        <f>('Imputed Data'!V65-'Imputed Data'!V64)/'Imputed Data'!V64</f>
        <v>6.3380281690141246E-3</v>
      </c>
      <c r="W65" s="7">
        <f>('Imputed Data'!W65-'Imputed Data'!W64)/'Imputed Data'!W64</f>
        <v>0</v>
      </c>
      <c r="X65" s="7">
        <f>('Imputed Data'!X65-'Imputed Data'!X64)/'Imputed Data'!X64</f>
        <v>7.3746312684365781E-3</v>
      </c>
      <c r="Y65" s="7">
        <f>('Imputed Data'!Y65-'Imputed Data'!Y64)/'Imputed Data'!Y64</f>
        <v>6.7014147431122646E-3</v>
      </c>
      <c r="Z65" s="7">
        <f>('Imputed Data'!Z65-'Imputed Data'!Z64)/'Imputed Data'!Z64</f>
        <v>7.4380165289256667E-3</v>
      </c>
      <c r="AA65" s="7">
        <f>('Imputed Data'!AA65-'Imputed Data'!AA64)/'Imputed Data'!AA64</f>
        <v>6.9018404907975894E-3</v>
      </c>
      <c r="AB65" s="7">
        <f>('Imputed Data'!AB65-'Imputed Data'!AB64)/'Imputed Data'!AB64</f>
        <v>1.144492131616591E-2</v>
      </c>
      <c r="AC65" s="7">
        <f>('Imputed Data'!AC65-'Imputed Data'!AC64)/'Imputed Data'!AC64</f>
        <v>7.8003120124804995E-3</v>
      </c>
      <c r="AD65" s="7">
        <f>('Imputed Data'!AD65-'Imputed Data'!AD64)/'Imputed Data'!AD64</f>
        <v>7.6745970836531079E-3</v>
      </c>
      <c r="AE65" s="7">
        <f>('Imputed Data'!AE65-'Imputed Data'!AE64)/'Imputed Data'!AE64</f>
        <v>4.395604395604354E-3</v>
      </c>
    </row>
    <row r="66" spans="1:31" x14ac:dyDescent="0.25">
      <c r="A66" s="1">
        <f>'Imputed Data'!A66</f>
        <v>43221</v>
      </c>
      <c r="B66" s="1" t="str">
        <f>'Imputed Data'!B66</f>
        <v>Rural+Urban</v>
      </c>
      <c r="C66" s="2">
        <f>'Imputed Data'!C66</f>
        <v>2018</v>
      </c>
      <c r="D66" s="1" t="str">
        <f>'Imputed Data'!D66</f>
        <v>May</v>
      </c>
      <c r="E66" s="7">
        <f>('Imputed Data'!E66-'Imputed Data'!E65)/'Imputed Data'!E65</f>
        <v>1.4662756598239634E-3</v>
      </c>
      <c r="F66" s="7">
        <f>('Imputed Data'!F66-'Imputed Data'!F65)/'Imputed Data'!F65</f>
        <v>1.5235457063711832E-2</v>
      </c>
      <c r="G66" s="7">
        <f>('Imputed Data'!G66-'Imputed Data'!G65)/'Imputed Data'!G65</f>
        <v>-2.2404779686333934E-3</v>
      </c>
      <c r="H66" s="7">
        <f>('Imputed Data'!H66-'Imputed Data'!H65)/'Imputed Data'!H65</f>
        <v>3.5310734463276836E-3</v>
      </c>
      <c r="I66" s="7">
        <f>('Imputed Data'!I66-'Imputed Data'!I65)/'Imputed Data'!I65</f>
        <v>0</v>
      </c>
      <c r="J66" s="7">
        <f>('Imputed Data'!J66-'Imputed Data'!J65)/'Imputed Data'!J65</f>
        <v>7.1661237785015913E-3</v>
      </c>
      <c r="K66" s="7">
        <f>('Imputed Data'!K66-'Imputed Data'!K65)/'Imputed Data'!K65</f>
        <v>2.2624434389140271E-2</v>
      </c>
      <c r="L66" s="7">
        <f>('Imputed Data'!L66-'Imputed Data'!L65)/'Imputed Data'!L65</f>
        <v>-9.7165991902834238E-3</v>
      </c>
      <c r="M66" s="7">
        <f>('Imputed Data'!M66-'Imputed Data'!M65)/'Imputed Data'!M65</f>
        <v>-3.6059806508355392E-2</v>
      </c>
      <c r="N66" s="7">
        <f>('Imputed Data'!N66-'Imputed Data'!N65)/'Imputed Data'!N65</f>
        <v>-7.2358900144713697E-4</v>
      </c>
      <c r="O66" s="7">
        <f>('Imputed Data'!O66-'Imputed Data'!O65)/'Imputed Data'!O65</f>
        <v>2.3148148148149027E-3</v>
      </c>
      <c r="P66" s="7">
        <f>('Imputed Data'!P66-'Imputed Data'!P65)/'Imputed Data'!P65</f>
        <v>3.3068783068783071E-3</v>
      </c>
      <c r="Q66" s="7">
        <f>('Imputed Data'!Q66-'Imputed Data'!Q65)/'Imputed Data'!Q65</f>
        <v>4.3636363636363222E-3</v>
      </c>
      <c r="R66" s="7">
        <f>('Imputed Data'!R66-'Imputed Data'!R65)/'Imputed Data'!R65</f>
        <v>6.3734862970044612E-3</v>
      </c>
      <c r="S66" s="7">
        <f>('Imputed Data'!S66-'Imputed Data'!S65)/'Imputed Data'!S65</f>
        <v>4.8176187198898041E-3</v>
      </c>
      <c r="T66" s="7">
        <f>('Imputed Data'!T66-'Imputed Data'!T65)/'Imputed Data'!T65</f>
        <v>5.1207022677397006E-3</v>
      </c>
      <c r="U66" s="7">
        <f>('Imputed Data'!U66-'Imputed Data'!U65)/'Imputed Data'!U65</f>
        <v>4.8611111111110323E-3</v>
      </c>
      <c r="V66" s="7">
        <f>('Imputed Data'!V66-'Imputed Data'!V65)/'Imputed Data'!V65</f>
        <v>2.0993701889431976E-3</v>
      </c>
      <c r="W66" s="7">
        <f>('Imputed Data'!W66-'Imputed Data'!W65)/'Imputed Data'!W65</f>
        <v>2.930402930402972E-3</v>
      </c>
      <c r="X66" s="7">
        <f>('Imputed Data'!X66-'Imputed Data'!X65)/'Imputed Data'!X65</f>
        <v>5.8565153733529385E-3</v>
      </c>
      <c r="Y66" s="7">
        <f>('Imputed Data'!Y66-'Imputed Data'!Y65)/'Imputed Data'!Y65</f>
        <v>5.9171597633136943E-3</v>
      </c>
      <c r="Z66" s="7">
        <f>('Imputed Data'!Z66-'Imputed Data'!Z65)/'Imputed Data'!Z65</f>
        <v>8.2034454470877767E-3</v>
      </c>
      <c r="AA66" s="7">
        <f>('Imputed Data'!AA66-'Imputed Data'!AA65)/'Imputed Data'!AA65</f>
        <v>3.8080731150038076E-3</v>
      </c>
      <c r="AB66" s="7">
        <f>('Imputed Data'!AB66-'Imputed Data'!AB65)/'Imputed Data'!AB65</f>
        <v>4.9504950495048699E-3</v>
      </c>
      <c r="AC66" s="7">
        <f>('Imputed Data'!AC66-'Imputed Data'!AC65)/'Imputed Data'!AC65</f>
        <v>5.417956656346882E-3</v>
      </c>
      <c r="AD66" s="7">
        <f>('Imputed Data'!AD66-'Imputed Data'!AD65)/'Imputed Data'!AD65</f>
        <v>6.0929169840059621E-3</v>
      </c>
      <c r="AE66" s="7">
        <f>('Imputed Data'!AE66-'Imputed Data'!AE65)/'Imputed Data'!AE65</f>
        <v>5.105762217359716E-3</v>
      </c>
    </row>
    <row r="67" spans="1:31" x14ac:dyDescent="0.25">
      <c r="A67" s="1">
        <f>'Imputed Data'!A67</f>
        <v>43252</v>
      </c>
      <c r="B67" s="1" t="str">
        <f>'Imputed Data'!B67</f>
        <v>Rural+Urban</v>
      </c>
      <c r="C67" s="2">
        <f>'Imputed Data'!C67</f>
        <v>2018</v>
      </c>
      <c r="D67" s="1" t="str">
        <f>'Imputed Data'!D67</f>
        <v>June</v>
      </c>
      <c r="E67" s="7">
        <f>('Imputed Data'!E67-'Imputed Data'!E66)/'Imputed Data'!E66</f>
        <v>2.196193265007404E-3</v>
      </c>
      <c r="F67" s="7">
        <f>('Imputed Data'!F67-'Imputed Data'!F66)/'Imputed Data'!F66</f>
        <v>1.4324693042291912E-2</v>
      </c>
      <c r="G67" s="7">
        <f>('Imputed Data'!G67-'Imputed Data'!G66)/'Imputed Data'!G66</f>
        <v>1.4970059880239521E-2</v>
      </c>
      <c r="H67" s="7">
        <f>('Imputed Data'!H67-'Imputed Data'!H66)/'Imputed Data'!H66</f>
        <v>1.4074595355384734E-3</v>
      </c>
      <c r="I67" s="7">
        <f>('Imputed Data'!I67-'Imputed Data'!I66)/'Imputed Data'!I66</f>
        <v>2.4793388429751829E-3</v>
      </c>
      <c r="J67" s="7">
        <f>('Imputed Data'!J67-'Imputed Data'!J66)/'Imputed Data'!J66</f>
        <v>-9.0556274256145264E-3</v>
      </c>
      <c r="K67" s="7">
        <f>('Imputed Data'!K67-'Imputed Data'!K66)/'Imputed Data'!K66</f>
        <v>5.9734513274336244E-2</v>
      </c>
      <c r="L67" s="7">
        <f>('Imputed Data'!L67-'Imputed Data'!L66)/'Imputed Data'!L66</f>
        <v>-7.3589533932951062E-3</v>
      </c>
      <c r="M67" s="7">
        <f>('Imputed Data'!M67-'Imputed Data'!M66)/'Imputed Data'!M66</f>
        <v>1.3686131386861315E-2</v>
      </c>
      <c r="N67" s="7">
        <f>('Imputed Data'!N67-'Imputed Data'!N66)/'Imputed Data'!N66</f>
        <v>2.1723388848661216E-3</v>
      </c>
      <c r="O67" s="7">
        <f>('Imputed Data'!O67-'Imputed Data'!O66)/'Imputed Data'!O66</f>
        <v>3.0792917628945779E-3</v>
      </c>
      <c r="P67" s="7">
        <f>('Imputed Data'!P67-'Imputed Data'!P66)/'Imputed Data'!P66</f>
        <v>6.5919578114715055E-4</v>
      </c>
      <c r="Q67" s="7">
        <f>('Imputed Data'!Q67-'Imputed Data'!Q66)/'Imputed Data'!Q66</f>
        <v>9.4134685010862518E-3</v>
      </c>
      <c r="R67" s="7">
        <f>('Imputed Data'!R67-'Imputed Data'!R66)/'Imputed Data'!R66</f>
        <v>2.5332488917036459E-3</v>
      </c>
      <c r="S67" s="7">
        <f>('Imputed Data'!S67-'Imputed Data'!S66)/'Imputed Data'!S66</f>
        <v>2.7397260273972993E-3</v>
      </c>
      <c r="T67" s="7">
        <f>('Imputed Data'!T67-'Imputed Data'!T66)/'Imputed Data'!T66</f>
        <v>5.0946142649198585E-3</v>
      </c>
      <c r="U67" s="7">
        <f>('Imputed Data'!U67-'Imputed Data'!U66)/'Imputed Data'!U66</f>
        <v>3.4554250172771253E-3</v>
      </c>
      <c r="V67" s="7">
        <f>('Imputed Data'!V67-'Imputed Data'!V66)/'Imputed Data'!V66</f>
        <v>-4.8882681564245021E-3</v>
      </c>
      <c r="W67" s="7">
        <f>('Imputed Data'!W67-'Imputed Data'!W66)/'Imputed Data'!W66</f>
        <v>8.765522279035709E-3</v>
      </c>
      <c r="X67" s="7">
        <f>('Imputed Data'!X67-'Imputed Data'!X66)/'Imputed Data'!X66</f>
        <v>3.6390101892285298E-3</v>
      </c>
      <c r="Y67" s="7">
        <f>('Imputed Data'!Y67-'Imputed Data'!Y66)/'Imputed Data'!Y66</f>
        <v>1.4705882352940341E-3</v>
      </c>
      <c r="Z67" s="7">
        <f>('Imputed Data'!Z67-'Imputed Data'!Z66)/'Imputed Data'!Z66</f>
        <v>6.50935720097638E-3</v>
      </c>
      <c r="AA67" s="7">
        <f>('Imputed Data'!AA67-'Imputed Data'!AA66)/'Imputed Data'!AA66</f>
        <v>6.0698027314110992E-3</v>
      </c>
      <c r="AB67" s="7">
        <f>('Imputed Data'!AB67-'Imputed Data'!AB66)/'Imputed Data'!AB66</f>
        <v>4.9261083743843571E-3</v>
      </c>
      <c r="AC67" s="7">
        <f>('Imputed Data'!AC67-'Imputed Data'!AC66)/'Imputed Data'!AC66</f>
        <v>1.5396458814471796E-3</v>
      </c>
      <c r="AD67" s="7">
        <f>('Imputed Data'!AD67-'Imputed Data'!AD66)/'Imputed Data'!AD66</f>
        <v>3.7850113550340651E-3</v>
      </c>
      <c r="AE67" s="7">
        <f>('Imputed Data'!AE67-'Imputed Data'!AE66)/'Imputed Data'!AE66</f>
        <v>5.0798258345427331E-3</v>
      </c>
    </row>
    <row r="68" spans="1:31" x14ac:dyDescent="0.25">
      <c r="A68" s="1">
        <f>'Imputed Data'!A68</f>
        <v>43282</v>
      </c>
      <c r="B68" s="1" t="str">
        <f>'Imputed Data'!B68</f>
        <v>Rural+Urban</v>
      </c>
      <c r="C68" s="2">
        <f>'Imputed Data'!C68</f>
        <v>2018</v>
      </c>
      <c r="D68" s="1" t="str">
        <f>'Imputed Data'!D68</f>
        <v>July</v>
      </c>
      <c r="E68" s="7">
        <f>('Imputed Data'!E68-'Imputed Data'!E67)/'Imputed Data'!E67</f>
        <v>4.3827611395178545E-3</v>
      </c>
      <c r="F68" s="7">
        <f>('Imputed Data'!F68-'Imputed Data'!F67)/'Imputed Data'!F67</f>
        <v>2.6899798251513499E-3</v>
      </c>
      <c r="G68" s="7">
        <f>('Imputed Data'!G68-'Imputed Data'!G67)/'Imputed Data'!G67</f>
        <v>2.6548672566371639E-2</v>
      </c>
      <c r="H68" s="7">
        <f>('Imputed Data'!H68-'Imputed Data'!H67)/'Imputed Data'!H67</f>
        <v>1.4054813773716698E-3</v>
      </c>
      <c r="I68" s="7">
        <f>('Imputed Data'!I68-'Imputed Data'!I67)/'Imputed Data'!I67</f>
        <v>8.2440230832653359E-4</v>
      </c>
      <c r="J68" s="7">
        <f>('Imputed Data'!J68-'Imputed Data'!J67)/'Imputed Data'!J67</f>
        <v>-1.0443864229764977E-2</v>
      </c>
      <c r="K68" s="7">
        <f>('Imputed Data'!K68-'Imputed Data'!K67)/'Imputed Data'!K67</f>
        <v>8.489909533750882E-2</v>
      </c>
      <c r="L68" s="7">
        <f>('Imputed Data'!L68-'Imputed Data'!L67)/'Imputed Data'!L67</f>
        <v>2.4711696869851494E-3</v>
      </c>
      <c r="M68" s="7">
        <f>('Imputed Data'!M68-'Imputed Data'!M67)/'Imputed Data'!M67</f>
        <v>2.1602160216021654E-2</v>
      </c>
      <c r="N68" s="7">
        <f>('Imputed Data'!N68-'Imputed Data'!N67)/'Imputed Data'!N67</f>
        <v>3.6127167630057803E-3</v>
      </c>
      <c r="O68" s="7">
        <f>('Imputed Data'!O68-'Imputed Data'!O67)/'Imputed Data'!O67</f>
        <v>0</v>
      </c>
      <c r="P68" s="7">
        <f>('Imputed Data'!P68-'Imputed Data'!P67)/'Imputed Data'!P67</f>
        <v>3.2938076416337285E-3</v>
      </c>
      <c r="Q68" s="7">
        <f>('Imputed Data'!Q68-'Imputed Data'!Q67)/'Imputed Data'!Q67</f>
        <v>1.4347202295552367E-2</v>
      </c>
      <c r="R68" s="7">
        <f>('Imputed Data'!R68-'Imputed Data'!R67)/'Imputed Data'!R67</f>
        <v>-5.0536955148453022E-3</v>
      </c>
      <c r="S68" s="7">
        <f>('Imputed Data'!S68-'Imputed Data'!S67)/'Imputed Data'!S67</f>
        <v>2.7322404371585085E-3</v>
      </c>
      <c r="T68" s="7">
        <f>('Imputed Data'!T68-'Imputed Data'!T67)/'Imputed Data'!T67</f>
        <v>2.1723388848661216E-3</v>
      </c>
      <c r="U68" s="7">
        <f>('Imputed Data'!U68-'Imputed Data'!U67)/'Imputed Data'!U67</f>
        <v>2.754820936639158E-3</v>
      </c>
      <c r="V68" s="7">
        <f>('Imputed Data'!V68-'Imputed Data'!V67)/'Imputed Data'!V67</f>
        <v>7.7192982456139956E-3</v>
      </c>
      <c r="W68" s="7">
        <f>('Imputed Data'!W68-'Imputed Data'!W67)/'Imputed Data'!W67</f>
        <v>1.1585807385952168E-2</v>
      </c>
      <c r="X68" s="7">
        <f>('Imputed Data'!X68-'Imputed Data'!X67)/'Imputed Data'!X67</f>
        <v>5.0761421319796126E-3</v>
      </c>
      <c r="Y68" s="7">
        <f>('Imputed Data'!Y68-'Imputed Data'!Y67)/'Imputed Data'!Y67</f>
        <v>5.8737151248165302E-3</v>
      </c>
      <c r="Z68" s="7">
        <f>('Imputed Data'!Z68-'Imputed Data'!Z67)/'Imputed Data'!Z67</f>
        <v>-8.0840743734849252E-4</v>
      </c>
      <c r="AA68" s="7">
        <f>('Imputed Data'!AA68-'Imputed Data'!AA67)/'Imputed Data'!AA67</f>
        <v>3.770739064856712E-3</v>
      </c>
      <c r="AB68" s="7">
        <f>('Imputed Data'!AB68-'Imputed Data'!AB67)/'Imputed Data'!AB67</f>
        <v>1.3305322128851381E-2</v>
      </c>
      <c r="AC68" s="7">
        <f>('Imputed Data'!AC68-'Imputed Data'!AC67)/'Imputed Data'!AC67</f>
        <v>0</v>
      </c>
      <c r="AD68" s="7">
        <f>('Imputed Data'!AD68-'Imputed Data'!AD67)/'Imputed Data'!AD67</f>
        <v>4.5248868778280113E-3</v>
      </c>
      <c r="AE68" s="7">
        <f>('Imputed Data'!AE68-'Imputed Data'!AE67)/'Imputed Data'!AE67</f>
        <v>9.3862815884477348E-3</v>
      </c>
    </row>
    <row r="69" spans="1:31" x14ac:dyDescent="0.25">
      <c r="A69" s="1">
        <f>'Imputed Data'!A69</f>
        <v>43313</v>
      </c>
      <c r="B69" s="1" t="str">
        <f>'Imputed Data'!B69</f>
        <v>Rural+Urban</v>
      </c>
      <c r="C69" s="2">
        <f>'Imputed Data'!C69</f>
        <v>2018</v>
      </c>
      <c r="D69" s="1" t="str">
        <f>'Imputed Data'!D69</f>
        <v>August</v>
      </c>
      <c r="E69" s="7">
        <f>('Imputed Data'!E69-'Imputed Data'!E68)/'Imputed Data'!E68</f>
        <v>5.8181818181819011E-3</v>
      </c>
      <c r="F69" s="7">
        <f>('Imputed Data'!F69-'Imputed Data'!F68)/'Imputed Data'!F68</f>
        <v>-7.3775989268946634E-3</v>
      </c>
      <c r="G69" s="7">
        <f>('Imputed Data'!G69-'Imputed Data'!G68)/'Imputed Data'!G68</f>
        <v>-7.9022988505746718E-3</v>
      </c>
      <c r="H69" s="7">
        <f>('Imputed Data'!H69-'Imputed Data'!H68)/'Imputed Data'!H68</f>
        <v>7.0175438596487244E-4</v>
      </c>
      <c r="I69" s="7">
        <f>('Imputed Data'!I69-'Imputed Data'!I68)/'Imputed Data'!I68</f>
        <v>6.589785831960438E-3</v>
      </c>
      <c r="J69" s="7">
        <f>('Imputed Data'!J69-'Imputed Data'!J68)/'Imputed Data'!J68</f>
        <v>-6.5963060686015833E-3</v>
      </c>
      <c r="K69" s="7">
        <f>('Imputed Data'!K69-'Imputed Data'!K68)/'Imputed Data'!K68</f>
        <v>4.4900577293135891E-3</v>
      </c>
      <c r="L69" s="7">
        <f>('Imputed Data'!L69-'Imputed Data'!L68)/'Imputed Data'!L68</f>
        <v>5.7518488085456275E-3</v>
      </c>
      <c r="M69" s="7">
        <f>('Imputed Data'!M69-'Imputed Data'!M68)/'Imputed Data'!M68</f>
        <v>1.0572687224669629E-2</v>
      </c>
      <c r="N69" s="7">
        <f>('Imputed Data'!N69-'Imputed Data'!N68)/'Imputed Data'!N68</f>
        <v>3.5997120230381566E-3</v>
      </c>
      <c r="O69" s="7">
        <f>('Imputed Data'!O69-'Imputed Data'!O68)/'Imputed Data'!O68</f>
        <v>6.1396776669223555E-3</v>
      </c>
      <c r="P69" s="7">
        <f>('Imputed Data'!P69-'Imputed Data'!P68)/'Imputed Data'!P68</f>
        <v>4.5961917268548163E-3</v>
      </c>
      <c r="Q69" s="7">
        <f>('Imputed Data'!Q69-'Imputed Data'!Q68)/'Imputed Data'!Q68</f>
        <v>2.121640735502001E-3</v>
      </c>
      <c r="R69" s="7">
        <f>('Imputed Data'!R69-'Imputed Data'!R68)/'Imputed Data'!R68</f>
        <v>2.5396825396825757E-3</v>
      </c>
      <c r="S69" s="7">
        <f>('Imputed Data'!S69-'Imputed Data'!S68)/'Imputed Data'!S68</f>
        <v>3.4059945504087189E-3</v>
      </c>
      <c r="T69" s="7">
        <f>('Imputed Data'!T69-'Imputed Data'!T68)/'Imputed Data'!T68</f>
        <v>2.8901734104046653E-3</v>
      </c>
      <c r="U69" s="7">
        <f>('Imputed Data'!U69-'Imputed Data'!U68)/'Imputed Data'!U68</f>
        <v>3.434065934065934E-3</v>
      </c>
      <c r="V69" s="7">
        <f>('Imputed Data'!V69-'Imputed Data'!V68)/'Imputed Data'!V68</f>
        <v>6.9637883008356553E-3</v>
      </c>
      <c r="W69" s="7">
        <f>('Imputed Data'!W69-'Imputed Data'!W68)/'Imputed Data'!W68</f>
        <v>8.5898353614890267E-3</v>
      </c>
      <c r="X69" s="7">
        <f>('Imputed Data'!X69-'Imputed Data'!X68)/'Imputed Data'!X68</f>
        <v>5.7720057720058544E-3</v>
      </c>
      <c r="Y69" s="7">
        <f>('Imputed Data'!Y69-'Imputed Data'!Y68)/'Imputed Data'!Y68</f>
        <v>5.1094890510948072E-3</v>
      </c>
      <c r="Z69" s="7">
        <f>('Imputed Data'!Z69-'Imputed Data'!Z68)/'Imputed Data'!Z68</f>
        <v>5.663430420711997E-3</v>
      </c>
      <c r="AA69" s="7">
        <f>('Imputed Data'!AA69-'Imputed Data'!AA68)/'Imputed Data'!AA68</f>
        <v>3.7565740045078888E-3</v>
      </c>
      <c r="AB69" s="7">
        <f>('Imputed Data'!AB69-'Imputed Data'!AB68)/'Imputed Data'!AB68</f>
        <v>8.9841050449206046E-3</v>
      </c>
      <c r="AC69" s="7">
        <f>('Imputed Data'!AC69-'Imputed Data'!AC68)/'Imputed Data'!AC68</f>
        <v>0</v>
      </c>
      <c r="AD69" s="7">
        <f>('Imputed Data'!AD69-'Imputed Data'!AD68)/'Imputed Data'!AD68</f>
        <v>5.255255255255384E-3</v>
      </c>
      <c r="AE69" s="7">
        <f>('Imputed Data'!AE69-'Imputed Data'!AE68)/'Imputed Data'!AE68</f>
        <v>4.291845493562191E-3</v>
      </c>
    </row>
    <row r="70" spans="1:31" x14ac:dyDescent="0.25">
      <c r="A70" s="1">
        <f>'Imputed Data'!A70</f>
        <v>43344</v>
      </c>
      <c r="B70" s="1" t="str">
        <f>'Imputed Data'!B70</f>
        <v>Rural+Urban</v>
      </c>
      <c r="C70" s="2">
        <f>'Imputed Data'!C70</f>
        <v>2018</v>
      </c>
      <c r="D70" s="1" t="str">
        <f>'Imputed Data'!D70</f>
        <v>September</v>
      </c>
      <c r="E70" s="7">
        <f>('Imputed Data'!E70-'Imputed Data'!E69)/'Imputed Data'!E69</f>
        <v>2.1691973969630001E-3</v>
      </c>
      <c r="F70" s="7">
        <f>('Imputed Data'!F70-'Imputed Data'!F69)/'Imputed Data'!F69</f>
        <v>-1.4864864864864788E-2</v>
      </c>
      <c r="G70" s="7">
        <f>('Imputed Data'!G70-'Imputed Data'!G69)/'Imputed Data'!G69</f>
        <v>-2.1723388848660392E-2</v>
      </c>
      <c r="H70" s="7">
        <f>('Imputed Data'!H70-'Imputed Data'!H69)/'Imputed Data'!H69</f>
        <v>2.1037868162693645E-3</v>
      </c>
      <c r="I70" s="7">
        <f>('Imputed Data'!I70-'Imputed Data'!I69)/'Imputed Data'!I69</f>
        <v>-8.1833060556471787E-4</v>
      </c>
      <c r="J70" s="7">
        <f>('Imputed Data'!J70-'Imputed Data'!J69)/'Imputed Data'!J69</f>
        <v>-3.4528552456839237E-2</v>
      </c>
      <c r="K70" s="7">
        <f>('Imputed Data'!K70-'Imputed Data'!K69)/'Imputed Data'!K69</f>
        <v>-4.2145593869731768E-2</v>
      </c>
      <c r="L70" s="7">
        <f>('Imputed Data'!L70-'Imputed Data'!L69)/'Imputed Data'!L69</f>
        <v>-8.1699346405228763E-3</v>
      </c>
      <c r="M70" s="7">
        <f>('Imputed Data'!M70-'Imputed Data'!M69)/'Imputed Data'!M69</f>
        <v>-8.7183958151700082E-3</v>
      </c>
      <c r="N70" s="7">
        <f>('Imputed Data'!N70-'Imputed Data'!N69)/'Imputed Data'!N69</f>
        <v>7.1736011477757753E-4</v>
      </c>
      <c r="O70" s="7">
        <f>('Imputed Data'!O70-'Imputed Data'!O69)/'Imputed Data'!O69</f>
        <v>-2.2883295194506708E-3</v>
      </c>
      <c r="P70" s="7">
        <f>('Imputed Data'!P70-'Imputed Data'!P69)/'Imputed Data'!P69</f>
        <v>5.2287581699347148E-3</v>
      </c>
      <c r="Q70" s="7">
        <f>('Imputed Data'!Q70-'Imputed Data'!Q69)/'Imputed Data'!Q69</f>
        <v>-9.1743119266053854E-3</v>
      </c>
      <c r="R70" s="7">
        <f>('Imputed Data'!R70-'Imputed Data'!R69)/'Imputed Data'!R69</f>
        <v>8.2330588980366239E-3</v>
      </c>
      <c r="S70" s="7">
        <f>('Imputed Data'!S70-'Imputed Data'!S69)/'Imputed Data'!S69</f>
        <v>2.7155465037337219E-3</v>
      </c>
      <c r="T70" s="7">
        <f>('Imputed Data'!T70-'Imputed Data'!T69)/'Imputed Data'!T69</f>
        <v>2.1613832853024707E-3</v>
      </c>
      <c r="U70" s="7">
        <f>('Imputed Data'!U70-'Imputed Data'!U69)/'Imputed Data'!U69</f>
        <v>2.7378507871321403E-3</v>
      </c>
      <c r="V70" s="7">
        <f>('Imputed Data'!V70-'Imputed Data'!V69)/'Imputed Data'!V69</f>
        <v>4.8409405255879466E-3</v>
      </c>
      <c r="W70" s="7">
        <f>('Imputed Data'!W70-'Imputed Data'!W69)/'Imputed Data'!W69</f>
        <v>9.9361249112846391E-3</v>
      </c>
      <c r="X70" s="7">
        <f>('Imputed Data'!X70-'Imputed Data'!X69)/'Imputed Data'!X69</f>
        <v>2.1520803443327327E-3</v>
      </c>
      <c r="Y70" s="7">
        <f>('Imputed Data'!Y70-'Imputed Data'!Y69)/'Imputed Data'!Y69</f>
        <v>5.0835148874365807E-3</v>
      </c>
      <c r="Z70" s="7">
        <f>('Imputed Data'!Z70-'Imputed Data'!Z69)/'Imputed Data'!Z69</f>
        <v>1.3676588897827859E-2</v>
      </c>
      <c r="AA70" s="7">
        <f>('Imputed Data'!AA70-'Imputed Data'!AA69)/'Imputed Data'!AA69</f>
        <v>6.7365269461078271E-3</v>
      </c>
      <c r="AB70" s="7">
        <f>('Imputed Data'!AB70-'Imputed Data'!AB69)/'Imputed Data'!AB69</f>
        <v>1.3698630136985523E-3</v>
      </c>
      <c r="AC70" s="7">
        <f>('Imputed Data'!AC70-'Imputed Data'!AC69)/'Imputed Data'!AC69</f>
        <v>6.1491160645658063E-3</v>
      </c>
      <c r="AD70" s="7">
        <f>('Imputed Data'!AD70-'Imputed Data'!AD69)/'Imputed Data'!AD69</f>
        <v>5.9746079163553612E-3</v>
      </c>
      <c r="AE70" s="7">
        <f>('Imputed Data'!AE70-'Imputed Data'!AE69)/'Imputed Data'!AE69</f>
        <v>-1.424501424501546E-3</v>
      </c>
    </row>
    <row r="71" spans="1:31" x14ac:dyDescent="0.25">
      <c r="A71" s="1">
        <f>'Imputed Data'!A71</f>
        <v>43374</v>
      </c>
      <c r="B71" s="1" t="str">
        <f>'Imputed Data'!B71</f>
        <v>Rural+Urban</v>
      </c>
      <c r="C71" s="2">
        <f>'Imputed Data'!C71</f>
        <v>2018</v>
      </c>
      <c r="D71" s="1" t="str">
        <f>'Imputed Data'!D71</f>
        <v>October</v>
      </c>
      <c r="E71" s="7">
        <f>('Imputed Data'!E71-'Imputed Data'!E70)/'Imputed Data'!E70</f>
        <v>-8.6580086580085765E-3</v>
      </c>
      <c r="F71" s="7">
        <f>('Imputed Data'!F71-'Imputed Data'!F70)/'Imputed Data'!F70</f>
        <v>2.5377229080932706E-2</v>
      </c>
      <c r="G71" s="7">
        <f>('Imputed Data'!G71-'Imputed Data'!G70)/'Imputed Data'!G70</f>
        <v>1.6284233900814338E-2</v>
      </c>
      <c r="H71" s="7">
        <f>('Imputed Data'!H71-'Imputed Data'!H70)/'Imputed Data'!H70</f>
        <v>-6.9979006298110562E-3</v>
      </c>
      <c r="I71" s="7">
        <f>('Imputed Data'!I71-'Imputed Data'!I70)/'Imputed Data'!I70</f>
        <v>-8.1900081900081901E-3</v>
      </c>
      <c r="J71" s="7">
        <f>('Imputed Data'!J71-'Imputed Data'!J70)/'Imputed Data'!J70</f>
        <v>-1.9944979367262763E-2</v>
      </c>
      <c r="K71" s="7">
        <f>('Imputed Data'!K71-'Imputed Data'!K70)/'Imputed Data'!K70</f>
        <v>-2.2000000000000075E-2</v>
      </c>
      <c r="L71" s="7">
        <f>('Imputed Data'!L71-'Imputed Data'!L70)/'Imputed Data'!L70</f>
        <v>-1.8945634266886419E-2</v>
      </c>
      <c r="M71" s="7">
        <f>('Imputed Data'!M71-'Imputed Data'!M70)/'Imputed Data'!M70</f>
        <v>-1.5831134564643773E-2</v>
      </c>
      <c r="N71" s="7">
        <f>('Imputed Data'!N71-'Imputed Data'!N70)/'Imputed Data'!N70</f>
        <v>1.0752688172043012E-2</v>
      </c>
      <c r="O71" s="7">
        <f>('Imputed Data'!O71-'Imputed Data'!O70)/'Imputed Data'!O70</f>
        <v>2.1406727828746044E-2</v>
      </c>
      <c r="P71" s="7">
        <f>('Imputed Data'!P71-'Imputed Data'!P70)/'Imputed Data'!P70</f>
        <v>4.551365409622813E-3</v>
      </c>
      <c r="Q71" s="7">
        <f>('Imputed Data'!Q71-'Imputed Data'!Q70)/'Imputed Data'!Q70</f>
        <v>-4.9857549857551071E-3</v>
      </c>
      <c r="R71" s="7">
        <f>('Imputed Data'!R71-'Imputed Data'!R70)/'Imputed Data'!R70</f>
        <v>2.1356783919598027E-2</v>
      </c>
      <c r="S71" s="7">
        <f>('Imputed Data'!S71-'Imputed Data'!S70)/'Imputed Data'!S70</f>
        <v>2.0311442112390752E-3</v>
      </c>
      <c r="T71" s="7">
        <f>('Imputed Data'!T71-'Imputed Data'!T70)/'Imputed Data'!T70</f>
        <v>7.1890726096329489E-4</v>
      </c>
      <c r="U71" s="7">
        <f>('Imputed Data'!U71-'Imputed Data'!U70)/'Imputed Data'!U70</f>
        <v>2.047781569965948E-3</v>
      </c>
      <c r="V71" s="7">
        <f>('Imputed Data'!V71-'Imputed Data'!V70)/'Imputed Data'!V70</f>
        <v>1.1011699931176835E-2</v>
      </c>
      <c r="W71" s="7">
        <f>('Imputed Data'!W71-'Imputed Data'!W70)/'Imputed Data'!W70</f>
        <v>2.1082220660576245E-2</v>
      </c>
      <c r="X71" s="7">
        <f>('Imputed Data'!X71-'Imputed Data'!X70)/'Imputed Data'!X70</f>
        <v>1.789549033643522E-2</v>
      </c>
      <c r="Y71" s="7">
        <f>('Imputed Data'!Y71-'Imputed Data'!Y70)/'Imputed Data'!Y70</f>
        <v>2.6734104046242692E-2</v>
      </c>
      <c r="Z71" s="7">
        <f>('Imputed Data'!Z71-'Imputed Data'!Z70)/'Imputed Data'!Z70</f>
        <v>-3.968253968253968E-3</v>
      </c>
      <c r="AA71" s="7">
        <f>('Imputed Data'!AA71-'Imputed Data'!AA70)/'Imputed Data'!AA70</f>
        <v>1.4869888475836431E-2</v>
      </c>
      <c r="AB71" s="7">
        <f>('Imputed Data'!AB71-'Imputed Data'!AB70)/'Imputed Data'!AB70</f>
        <v>1.0943912448700566E-2</v>
      </c>
      <c r="AC71" s="7">
        <f>('Imputed Data'!AC71-'Imputed Data'!AC70)/'Imputed Data'!AC70</f>
        <v>8.4033613445377714E-3</v>
      </c>
      <c r="AD71" s="7">
        <f>('Imputed Data'!AD71-'Imputed Data'!AD70)/'Imputed Data'!AD70</f>
        <v>1.1878247958426302E-2</v>
      </c>
      <c r="AE71" s="7">
        <f>('Imputed Data'!AE71-'Imputed Data'!AE70)/'Imputed Data'!AE70</f>
        <v>4.2796005706135717E-3</v>
      </c>
    </row>
    <row r="72" spans="1:31" x14ac:dyDescent="0.25">
      <c r="A72" s="1">
        <f>'Imputed Data'!A72</f>
        <v>43405</v>
      </c>
      <c r="B72" s="1" t="str">
        <f>'Imputed Data'!B72</f>
        <v>Rural+Urban</v>
      </c>
      <c r="C72" s="2">
        <f>'Imputed Data'!C72</f>
        <v>2018</v>
      </c>
      <c r="D72" s="1" t="str">
        <f>'Imputed Data'!D72</f>
        <v>November</v>
      </c>
      <c r="E72" s="7">
        <f>('Imputed Data'!E72-'Imputed Data'!E71)/'Imputed Data'!E71</f>
        <v>0</v>
      </c>
      <c r="F72" s="7">
        <f>('Imputed Data'!F72-'Imputed Data'!F71)/'Imputed Data'!F71</f>
        <v>-2.0066889632107785E-3</v>
      </c>
      <c r="G72" s="7">
        <f>('Imputed Data'!G72-'Imputed Data'!G71)/'Imputed Data'!G71</f>
        <v>-1.4566642388930593E-3</v>
      </c>
      <c r="H72" s="7">
        <f>('Imputed Data'!H72-'Imputed Data'!H71)/'Imputed Data'!H71</f>
        <v>-7.0472163495415301E-4</v>
      </c>
      <c r="I72" s="7">
        <f>('Imputed Data'!I72-'Imputed Data'!I71)/'Imputed Data'!I71</f>
        <v>0</v>
      </c>
      <c r="J72" s="7">
        <f>('Imputed Data'!J72-'Imputed Data'!J71)/'Imputed Data'!J71</f>
        <v>2.1052631578948166E-3</v>
      </c>
      <c r="K72" s="7">
        <f>('Imputed Data'!K72-'Imputed Data'!K71)/'Imputed Data'!K71</f>
        <v>0</v>
      </c>
      <c r="L72" s="7">
        <f>('Imputed Data'!L72-'Imputed Data'!L71)/'Imputed Data'!L71</f>
        <v>0</v>
      </c>
      <c r="M72" s="7">
        <f>('Imputed Data'!M72-'Imputed Data'!M71)/'Imputed Data'!M71</f>
        <v>0</v>
      </c>
      <c r="N72" s="7">
        <f>('Imputed Data'!N72-'Imputed Data'!N71)/'Imputed Data'!N71</f>
        <v>-7.0921985815598808E-4</v>
      </c>
      <c r="O72" s="7">
        <f>('Imputed Data'!O72-'Imputed Data'!O71)/'Imputed Data'!O71</f>
        <v>-7.4850299401193348E-4</v>
      </c>
      <c r="P72" s="7">
        <f>('Imputed Data'!P72-'Imputed Data'!P71)/'Imputed Data'!P71</f>
        <v>0</v>
      </c>
      <c r="Q72" s="7">
        <f>('Imputed Data'!Q72-'Imputed Data'!Q71)/'Imputed Data'!Q71</f>
        <v>0</v>
      </c>
      <c r="R72" s="7">
        <f>('Imputed Data'!R72-'Imputed Data'!R71)/'Imputed Data'!R71</f>
        <v>0</v>
      </c>
      <c r="S72" s="7">
        <f>('Imputed Data'!S72-'Imputed Data'!S71)/'Imputed Data'!S71</f>
        <v>0</v>
      </c>
      <c r="T72" s="7">
        <f>('Imputed Data'!T72-'Imputed Data'!T71)/'Imputed Data'!T71</f>
        <v>-7.1839080459766037E-4</v>
      </c>
      <c r="U72" s="7">
        <f>('Imputed Data'!U72-'Imputed Data'!U71)/'Imputed Data'!U71</f>
        <v>-6.8119891008189867E-4</v>
      </c>
      <c r="V72" s="7">
        <f>('Imputed Data'!V72-'Imputed Data'!V71)/'Imputed Data'!V71</f>
        <v>0</v>
      </c>
      <c r="W72" s="7">
        <f>('Imputed Data'!W72-'Imputed Data'!W71)/'Imputed Data'!W71</f>
        <v>-1.3764624913972267E-3</v>
      </c>
      <c r="X72" s="7">
        <f>('Imputed Data'!X72-'Imputed Data'!X71)/'Imputed Data'!X71</f>
        <v>0</v>
      </c>
      <c r="Y72" s="7">
        <f>('Imputed Data'!Y72-'Imputed Data'!Y71)/'Imputed Data'!Y71</f>
        <v>0</v>
      </c>
      <c r="Z72" s="7">
        <f>('Imputed Data'!Z72-'Imputed Data'!Z71)/'Imputed Data'!Z71</f>
        <v>0</v>
      </c>
      <c r="AA72" s="7">
        <f>('Imputed Data'!AA72-'Imputed Data'!AA71)/'Imputed Data'!AA71</f>
        <v>0</v>
      </c>
      <c r="AB72" s="7">
        <f>('Imputed Data'!AB72-'Imputed Data'!AB71)/'Imputed Data'!AB71</f>
        <v>0</v>
      </c>
      <c r="AC72" s="7">
        <f>('Imputed Data'!AC72-'Imputed Data'!AC71)/'Imputed Data'!AC71</f>
        <v>0</v>
      </c>
      <c r="AD72" s="7">
        <f>('Imputed Data'!AD72-'Imputed Data'!AD71)/'Imputed Data'!AD71</f>
        <v>0</v>
      </c>
      <c r="AE72" s="7">
        <f>('Imputed Data'!AE72-'Imputed Data'!AE71)/'Imputed Data'!AE71</f>
        <v>0</v>
      </c>
    </row>
    <row r="73" spans="1:31" x14ac:dyDescent="0.25">
      <c r="A73" s="1">
        <f>'Imputed Data'!A73</f>
        <v>43435</v>
      </c>
      <c r="B73" s="1" t="str">
        <f>'Imputed Data'!B73</f>
        <v>Rural+Urban</v>
      </c>
      <c r="C73" s="2">
        <f>'Imputed Data'!C73</f>
        <v>2018</v>
      </c>
      <c r="D73" s="1" t="str">
        <f>'Imputed Data'!D73</f>
        <v>December</v>
      </c>
      <c r="E73" s="7">
        <f>('Imputed Data'!E73-'Imputed Data'!E72)/'Imputed Data'!E72</f>
        <v>7.2780203784566459E-4</v>
      </c>
      <c r="F73" s="7">
        <f>('Imputed Data'!F73-'Imputed Data'!F72)/'Imputed Data'!F72</f>
        <v>8.713136729222597E-3</v>
      </c>
      <c r="G73" s="7">
        <f>('Imputed Data'!G73-'Imputed Data'!G72)/'Imputed Data'!G72</f>
        <v>1.2399708242159134E-2</v>
      </c>
      <c r="H73" s="7">
        <f>('Imputed Data'!H73-'Imputed Data'!H72)/'Imputed Data'!H72</f>
        <v>2.1156558533144071E-3</v>
      </c>
      <c r="I73" s="7">
        <f>('Imputed Data'!I73-'Imputed Data'!I72)/'Imputed Data'!I72</f>
        <v>7.4318744838976526E-3</v>
      </c>
      <c r="J73" s="7">
        <f>('Imputed Data'!J73-'Imputed Data'!J72)/'Imputed Data'!J72</f>
        <v>-2.3809523809523846E-2</v>
      </c>
      <c r="K73" s="7">
        <f>('Imputed Data'!K73-'Imputed Data'!K72)/'Imputed Data'!K72</f>
        <v>-7.8391274710293127E-2</v>
      </c>
      <c r="L73" s="7">
        <f>('Imputed Data'!L73-'Imputed Data'!L72)/'Imputed Data'!L72</f>
        <v>5.8774139378673625E-3</v>
      </c>
      <c r="M73" s="7">
        <f>('Imputed Data'!M73-'Imputed Data'!M72)/'Imputed Data'!M72</f>
        <v>-1.4298480786416519E-2</v>
      </c>
      <c r="N73" s="7">
        <f>('Imputed Data'!N73-'Imputed Data'!N72)/'Imputed Data'!N72</f>
        <v>-2.1291696238467804E-3</v>
      </c>
      <c r="O73" s="7">
        <f>('Imputed Data'!O73-'Imputed Data'!O72)/'Imputed Data'!O72</f>
        <v>2.2471910112360403E-3</v>
      </c>
      <c r="P73" s="7">
        <f>('Imputed Data'!P73-'Imputed Data'!P72)/'Imputed Data'!P72</f>
        <v>6.4724919093847458E-4</v>
      </c>
      <c r="Q73" s="7">
        <f>('Imputed Data'!Q73-'Imputed Data'!Q72)/'Imputed Data'!Q72</f>
        <v>-1.0737294201861132E-2</v>
      </c>
      <c r="R73" s="7">
        <f>('Imputed Data'!R73-'Imputed Data'!R72)/'Imputed Data'!R72</f>
        <v>2.4600246002460377E-3</v>
      </c>
      <c r="S73" s="7">
        <f>('Imputed Data'!S73-'Imputed Data'!S72)/'Imputed Data'!S72</f>
        <v>6.7567567567563722E-4</v>
      </c>
      <c r="T73" s="7">
        <f>('Imputed Data'!T73-'Imputed Data'!T72)/'Imputed Data'!T72</f>
        <v>2.156721782890089E-3</v>
      </c>
      <c r="U73" s="7">
        <f>('Imputed Data'!U73-'Imputed Data'!U72)/'Imputed Data'!U72</f>
        <v>6.8166325835052998E-4</v>
      </c>
      <c r="V73" s="7">
        <f>('Imputed Data'!V73-'Imputed Data'!V72)/'Imputed Data'!V72</f>
        <v>-2.7229407760381596E-3</v>
      </c>
      <c r="W73" s="7">
        <f>('Imputed Data'!W73-'Imputed Data'!W72)/'Imputed Data'!W72</f>
        <v>-1.6540317022742976E-2</v>
      </c>
      <c r="X73" s="7">
        <f>('Imputed Data'!X73-'Imputed Data'!X72)/'Imputed Data'!X72</f>
        <v>7.0323488045007038E-3</v>
      </c>
      <c r="Y73" s="7">
        <f>('Imputed Data'!Y73-'Imputed Data'!Y72)/'Imputed Data'!Y72</f>
        <v>1.9704433497537026E-2</v>
      </c>
      <c r="Z73" s="7">
        <f>('Imputed Data'!Z73-'Imputed Data'!Z72)/'Imputed Data'!Z72</f>
        <v>-1.5139442231075743E-2</v>
      </c>
      <c r="AA73" s="7">
        <f>('Imputed Data'!AA73-'Imputed Data'!AA72)/'Imputed Data'!AA72</f>
        <v>2.1978021978022811E-3</v>
      </c>
      <c r="AB73" s="7">
        <f>('Imputed Data'!AB73-'Imputed Data'!AB72)/'Imputed Data'!AB72</f>
        <v>1.5561569688768489E-2</v>
      </c>
      <c r="AC73" s="7">
        <f>('Imputed Data'!AC73-'Imputed Data'!AC72)/'Imputed Data'!AC72</f>
        <v>1.5151515151514291E-3</v>
      </c>
      <c r="AD73" s="7">
        <f>('Imputed Data'!AD73-'Imputed Data'!AD72)/'Imputed Data'!AD72</f>
        <v>3.6683785766691121E-3</v>
      </c>
      <c r="AE73" s="7">
        <f>('Imputed Data'!AE73-'Imputed Data'!AE72)/'Imputed Data'!AE72</f>
        <v>-4.9715909090910296E-3</v>
      </c>
    </row>
    <row r="74" spans="1:31" x14ac:dyDescent="0.25">
      <c r="A74" s="1">
        <f>'Imputed Data'!A74</f>
        <v>43466</v>
      </c>
      <c r="B74" s="1" t="str">
        <f>'Imputed Data'!B74</f>
        <v>Rural+Urban</v>
      </c>
      <c r="C74" s="2">
        <f>'Imputed Data'!C74</f>
        <v>2019</v>
      </c>
      <c r="D74" s="1" t="str">
        <f>'Imputed Data'!D74</f>
        <v>January</v>
      </c>
      <c r="E74" s="7">
        <f>('Imputed Data'!E74-'Imputed Data'!E73)/'Imputed Data'!E73</f>
        <v>-2.9090909090909505E-3</v>
      </c>
      <c r="F74" s="7">
        <f>('Imputed Data'!F74-'Imputed Data'!F73)/'Imputed Data'!F73</f>
        <v>5.9800664451827622E-3</v>
      </c>
      <c r="G74" s="7">
        <f>('Imputed Data'!G74-'Imputed Data'!G73)/'Imputed Data'!G73</f>
        <v>1.0086455331411939E-2</v>
      </c>
      <c r="H74" s="7">
        <f>('Imputed Data'!H74-'Imputed Data'!H73)/'Imputed Data'!H73</f>
        <v>0</v>
      </c>
      <c r="I74" s="7">
        <f>('Imputed Data'!I74-'Imputed Data'!I73)/'Imputed Data'!I73</f>
        <v>-1.6393442622951052E-3</v>
      </c>
      <c r="J74" s="7">
        <f>('Imputed Data'!J74-'Imputed Data'!J73)/'Imputed Data'!J73</f>
        <v>-2.8694404591104734E-2</v>
      </c>
      <c r="K74" s="7">
        <f>('Imputed Data'!K74-'Imputed Data'!K73)/'Imputed Data'!K73</f>
        <v>-2.8846153846153681E-2</v>
      </c>
      <c r="L74" s="7">
        <f>('Imputed Data'!L74-'Imputed Data'!L73)/'Imputed Data'!L73</f>
        <v>4.1736227045075123E-3</v>
      </c>
      <c r="M74" s="7">
        <f>('Imputed Data'!M74-'Imputed Data'!M73)/'Imputed Data'!M73</f>
        <v>-1.0879419764279264E-2</v>
      </c>
      <c r="N74" s="7">
        <f>('Imputed Data'!N74-'Imputed Data'!N73)/'Imputed Data'!N73</f>
        <v>-8.5348506401137173E-3</v>
      </c>
      <c r="O74" s="7">
        <f>('Imputed Data'!O74-'Imputed Data'!O73)/'Imputed Data'!O73</f>
        <v>-3.7369207772795215E-3</v>
      </c>
      <c r="P74" s="7">
        <f>('Imputed Data'!P74-'Imputed Data'!P73)/'Imputed Data'!P73</f>
        <v>0</v>
      </c>
      <c r="Q74" s="7">
        <f>('Imputed Data'!Q74-'Imputed Data'!Q73)/'Imputed Data'!Q73</f>
        <v>-5.7887120115773013E-3</v>
      </c>
      <c r="R74" s="7">
        <f>('Imputed Data'!R74-'Imputed Data'!R73)/'Imputed Data'!R73</f>
        <v>1.2269938650306051E-3</v>
      </c>
      <c r="S74" s="7">
        <f>('Imputed Data'!S74-'Imputed Data'!S73)/'Imputed Data'!S73</f>
        <v>-3.3760972316002704E-3</v>
      </c>
      <c r="T74" s="7">
        <f>('Imputed Data'!T74-'Imputed Data'!T73)/'Imputed Data'!T73</f>
        <v>-2.8694404591105139E-3</v>
      </c>
      <c r="U74" s="7">
        <f>('Imputed Data'!U74-'Imputed Data'!U73)/'Imputed Data'!U73</f>
        <v>-2.724795640327014E-3</v>
      </c>
      <c r="V74" s="7">
        <f>('Imputed Data'!V74-'Imputed Data'!V73)/'Imputed Data'!V73</f>
        <v>8.1911262798634032E-3</v>
      </c>
      <c r="W74" s="7">
        <f>('Imputed Data'!W74-'Imputed Data'!W73)/'Imputed Data'!W73</f>
        <v>-2.2424667133847154E-2</v>
      </c>
      <c r="X74" s="7">
        <f>('Imputed Data'!X74-'Imputed Data'!X73)/'Imputed Data'!X73</f>
        <v>2.7932960893855148E-3</v>
      </c>
      <c r="Y74" s="7">
        <f>('Imputed Data'!Y74-'Imputed Data'!Y73)/'Imputed Data'!Y73</f>
        <v>1.3802622498273887E-3</v>
      </c>
      <c r="Z74" s="7">
        <f>('Imputed Data'!Z74-'Imputed Data'!Z73)/'Imputed Data'!Z73</f>
        <v>-2.4271844660193947E-3</v>
      </c>
      <c r="AA74" s="7">
        <f>('Imputed Data'!AA74-'Imputed Data'!AA73)/'Imputed Data'!AA73</f>
        <v>-7.3099415204694979E-4</v>
      </c>
      <c r="AB74" s="7">
        <f>('Imputed Data'!AB74-'Imputed Data'!AB73)/'Imputed Data'!AB73</f>
        <v>6.6622251832108143E-4</v>
      </c>
      <c r="AC74" s="7">
        <f>('Imputed Data'!AC74-'Imputed Data'!AC73)/'Imputed Data'!AC73</f>
        <v>4.5385779122543331E-3</v>
      </c>
      <c r="AD74" s="7">
        <f>('Imputed Data'!AD74-'Imputed Data'!AD73)/'Imputed Data'!AD73</f>
        <v>7.3099415204674206E-4</v>
      </c>
      <c r="AE74" s="7">
        <f>('Imputed Data'!AE74-'Imputed Data'!AE73)/'Imputed Data'!AE73</f>
        <v>-3.5688793718772309E-3</v>
      </c>
    </row>
    <row r="75" spans="1:31" x14ac:dyDescent="0.25">
      <c r="A75" s="1">
        <f>'Imputed Data'!A75</f>
        <v>43497</v>
      </c>
      <c r="B75" s="1" t="str">
        <f>'Imputed Data'!B75</f>
        <v>Rural+Urban</v>
      </c>
      <c r="C75" s="2">
        <f>'Imputed Data'!C75</f>
        <v>2019</v>
      </c>
      <c r="D75" s="1" t="str">
        <f>'Imputed Data'!D75</f>
        <v>February</v>
      </c>
      <c r="E75" s="7">
        <f>('Imputed Data'!E75-'Imputed Data'!E74)/'Imputed Data'!E74</f>
        <v>3.6469730123997084E-3</v>
      </c>
      <c r="F75" s="7">
        <f>('Imputed Data'!F75-'Imputed Data'!F74)/'Imputed Data'!F74</f>
        <v>3.9630118890356296E-3</v>
      </c>
      <c r="G75" s="7">
        <f>('Imputed Data'!G75-'Imputed Data'!G74)/'Imputed Data'!G74</f>
        <v>9.2724679029958026E-3</v>
      </c>
      <c r="H75" s="7">
        <f>('Imputed Data'!H75-'Imputed Data'!H74)/'Imputed Data'!H74</f>
        <v>7.0372976776913662E-4</v>
      </c>
      <c r="I75" s="7">
        <f>('Imputed Data'!I75-'Imputed Data'!I74)/'Imputed Data'!I74</f>
        <v>1.6420361247947688E-3</v>
      </c>
      <c r="J75" s="7">
        <f>('Imputed Data'!J75-'Imputed Data'!J74)/'Imputed Data'!J74</f>
        <v>7.385524372230428E-3</v>
      </c>
      <c r="K75" s="7">
        <f>('Imputed Data'!K75-'Imputed Data'!K74)/'Imputed Data'!K74</f>
        <v>-1.2185833968012358E-2</v>
      </c>
      <c r="L75" s="7">
        <f>('Imputed Data'!L75-'Imputed Data'!L74)/'Imputed Data'!L74</f>
        <v>5.8187863674148202E-3</v>
      </c>
      <c r="M75" s="7">
        <f>('Imputed Data'!M75-'Imputed Data'!M74)/'Imputed Data'!M74</f>
        <v>-9.1659028414293607E-4</v>
      </c>
      <c r="N75" s="7">
        <f>('Imputed Data'!N75-'Imputed Data'!N74)/'Imputed Data'!N74</f>
        <v>2.1520803443327327E-3</v>
      </c>
      <c r="O75" s="7">
        <f>('Imputed Data'!O75-'Imputed Data'!O74)/'Imputed Data'!O74</f>
        <v>2.250562640660037E-3</v>
      </c>
      <c r="P75" s="7">
        <f>('Imputed Data'!P75-'Imputed Data'!P74)/'Imputed Data'!P74</f>
        <v>1.9404915912031783E-3</v>
      </c>
      <c r="Q75" s="7">
        <f>('Imputed Data'!Q75-'Imputed Data'!Q74)/'Imputed Data'!Q74</f>
        <v>7.2780203784566459E-4</v>
      </c>
      <c r="R75" s="7">
        <f>('Imputed Data'!R75-'Imputed Data'!R74)/'Imputed Data'!R74</f>
        <v>1.2254901960785359E-3</v>
      </c>
      <c r="S75" s="7">
        <f>('Imputed Data'!S75-'Imputed Data'!S74)/'Imputed Data'!S74</f>
        <v>6.7750677506771219E-4</v>
      </c>
      <c r="T75" s="7">
        <f>('Imputed Data'!T75-'Imputed Data'!T74)/'Imputed Data'!T74</f>
        <v>5.0359712230215008E-3</v>
      </c>
      <c r="U75" s="7">
        <f>('Imputed Data'!U75-'Imputed Data'!U74)/'Imputed Data'!U74</f>
        <v>6.8306010928957867E-4</v>
      </c>
      <c r="V75" s="7">
        <f>('Imputed Data'!V75-'Imputed Data'!V74)/'Imputed Data'!V74</f>
        <v>5.4163845633040716E-3</v>
      </c>
      <c r="W75" s="7">
        <f>('Imputed Data'!W75-'Imputed Data'!W74)/'Imputed Data'!W74</f>
        <v>-7.8853046594981671E-3</v>
      </c>
      <c r="X75" s="7">
        <f>('Imputed Data'!X75-'Imputed Data'!X74)/'Imputed Data'!X74</f>
        <v>6.9637883008352589E-4</v>
      </c>
      <c r="Y75" s="7">
        <f>('Imputed Data'!Y75-'Imputed Data'!Y74)/'Imputed Data'!Y74</f>
        <v>3.4458993797381117E-3</v>
      </c>
      <c r="Z75" s="7">
        <f>('Imputed Data'!Z75-'Imputed Data'!Z74)/'Imputed Data'!Z74</f>
        <v>4.86618004866187E-3</v>
      </c>
      <c r="AA75" s="7">
        <f>('Imputed Data'!AA75-'Imputed Data'!AA74)/'Imputed Data'!AA74</f>
        <v>2.9261155815655136E-3</v>
      </c>
      <c r="AB75" s="7">
        <f>('Imputed Data'!AB75-'Imputed Data'!AB74)/'Imputed Data'!AB74</f>
        <v>6.6577896138497164E-4</v>
      </c>
      <c r="AC75" s="7">
        <f>('Imputed Data'!AC75-'Imputed Data'!AC74)/'Imputed Data'!AC74</f>
        <v>9.7891566265058943E-3</v>
      </c>
      <c r="AD75" s="7">
        <f>('Imputed Data'!AD75-'Imputed Data'!AD74)/'Imputed Data'!AD74</f>
        <v>3.6523009495982466E-3</v>
      </c>
      <c r="AE75" s="7">
        <f>('Imputed Data'!AE75-'Imputed Data'!AE74)/'Imputed Data'!AE74</f>
        <v>2.1489971346705687E-3</v>
      </c>
    </row>
    <row r="76" spans="1:31" x14ac:dyDescent="0.25">
      <c r="A76" s="1">
        <f>'Imputed Data'!A76</f>
        <v>43525</v>
      </c>
      <c r="B76" s="1" t="str">
        <f>'Imputed Data'!B76</f>
        <v>Rural+Urban</v>
      </c>
      <c r="C76" s="2">
        <f>'Imputed Data'!C76</f>
        <v>2019</v>
      </c>
      <c r="D76" s="1" t="str">
        <f>'Imputed Data'!D76</f>
        <v>March</v>
      </c>
      <c r="E76" s="7">
        <f>('Imputed Data'!E76-'Imputed Data'!E75)/'Imputed Data'!E75</f>
        <v>1.4534883720931473E-3</v>
      </c>
      <c r="F76" s="7">
        <f>('Imputed Data'!F76-'Imputed Data'!F75)/'Imputed Data'!F75</f>
        <v>6.5789473684210523E-3</v>
      </c>
      <c r="G76" s="7">
        <f>('Imputed Data'!G76-'Imputed Data'!G75)/'Imputed Data'!G75</f>
        <v>-8.4805653710246544E-3</v>
      </c>
      <c r="H76" s="7">
        <f>('Imputed Data'!H76-'Imputed Data'!H75)/'Imputed Data'!H75</f>
        <v>7.0323488045023026E-4</v>
      </c>
      <c r="I76" s="7">
        <f>('Imputed Data'!I76-'Imputed Data'!I75)/'Imputed Data'!I75</f>
        <v>0</v>
      </c>
      <c r="J76" s="7">
        <f>('Imputed Data'!J76-'Imputed Data'!J75)/'Imputed Data'!J75</f>
        <v>8.7976539589441974E-3</v>
      </c>
      <c r="K76" s="7">
        <f>('Imputed Data'!K76-'Imputed Data'!K75)/'Imputed Data'!K75</f>
        <v>2.2359290670778766E-2</v>
      </c>
      <c r="L76" s="7">
        <f>('Imputed Data'!L76-'Imputed Data'!L75)/'Imputed Data'!L75</f>
        <v>6.6115702479338607E-3</v>
      </c>
      <c r="M76" s="7">
        <f>('Imputed Data'!M76-'Imputed Data'!M75)/'Imputed Data'!M75</f>
        <v>0</v>
      </c>
      <c r="N76" s="7">
        <f>('Imputed Data'!N76-'Imputed Data'!N75)/'Imputed Data'!N75</f>
        <v>-1.4316392269147363E-3</v>
      </c>
      <c r="O76" s="7">
        <f>('Imputed Data'!O76-'Imputed Data'!O75)/'Imputed Data'!O75</f>
        <v>7.4850299401193348E-4</v>
      </c>
      <c r="P76" s="7">
        <f>('Imputed Data'!P76-'Imputed Data'!P75)/'Imputed Data'!P75</f>
        <v>1.9367333763717427E-3</v>
      </c>
      <c r="Q76" s="7">
        <f>('Imputed Data'!Q76-'Imputed Data'!Q75)/'Imputed Data'!Q75</f>
        <v>4.3636363636363222E-3</v>
      </c>
      <c r="R76" s="7">
        <f>('Imputed Data'!R76-'Imputed Data'!R75)/'Imputed Data'!R75</f>
        <v>6.1199510403913283E-4</v>
      </c>
      <c r="S76" s="7">
        <f>('Imputed Data'!S76-'Imputed Data'!S75)/'Imputed Data'!S75</f>
        <v>1.3540961408261142E-3</v>
      </c>
      <c r="T76" s="7">
        <f>('Imputed Data'!T76-'Imputed Data'!T75)/'Imputed Data'!T75</f>
        <v>1.4316392269149397E-3</v>
      </c>
      <c r="U76" s="7">
        <f>('Imputed Data'!U76-'Imputed Data'!U75)/'Imputed Data'!U75</f>
        <v>1.3651877133105026E-3</v>
      </c>
      <c r="V76" s="7">
        <f>('Imputed Data'!V76-'Imputed Data'!V75)/'Imputed Data'!V75</f>
        <v>3.3670033670033669E-3</v>
      </c>
      <c r="W76" s="7">
        <f>('Imputed Data'!W76-'Imputed Data'!W75)/'Imputed Data'!W75</f>
        <v>9.3930635838149045E-3</v>
      </c>
      <c r="X76" s="7">
        <f>('Imputed Data'!X76-'Imputed Data'!X75)/'Imputed Data'!X75</f>
        <v>6.9589422407809849E-4</v>
      </c>
      <c r="Y76" s="7">
        <f>('Imputed Data'!Y76-'Imputed Data'!Y75)/'Imputed Data'!Y75</f>
        <v>4.120879120879082E-3</v>
      </c>
      <c r="Z76" s="7">
        <f>('Imputed Data'!Z76-'Imputed Data'!Z75)/'Imputed Data'!Z75</f>
        <v>5.6497175141242018E-3</v>
      </c>
      <c r="AA76" s="7">
        <f>('Imputed Data'!AA76-'Imputed Data'!AA75)/'Imputed Data'!AA75</f>
        <v>4.376367614879609E-3</v>
      </c>
      <c r="AB76" s="7">
        <f>('Imputed Data'!AB76-'Imputed Data'!AB75)/'Imputed Data'!AB75</f>
        <v>0</v>
      </c>
      <c r="AC76" s="7">
        <f>('Imputed Data'!AC76-'Imputed Data'!AC75)/'Imputed Data'!AC75</f>
        <v>-5.219985085756813E-3</v>
      </c>
      <c r="AD76" s="7">
        <f>('Imputed Data'!AD76-'Imputed Data'!AD75)/'Imputed Data'!AD75</f>
        <v>2.1834061135369938E-3</v>
      </c>
      <c r="AE76" s="7">
        <f>('Imputed Data'!AE76-'Imputed Data'!AE75)/'Imputed Data'!AE75</f>
        <v>3.5739814152966403E-3</v>
      </c>
    </row>
    <row r="77" spans="1:31" x14ac:dyDescent="0.25">
      <c r="A77" s="1">
        <f>'Imputed Data'!A77</f>
        <v>43556</v>
      </c>
      <c r="B77" s="1" t="str">
        <f>'Imputed Data'!B77</f>
        <v>Rural+Urban</v>
      </c>
      <c r="C77" s="2">
        <f>'Imputed Data'!C77</f>
        <v>2019</v>
      </c>
      <c r="D77" s="1" t="str">
        <f>'Imputed Data'!D77</f>
        <v>April</v>
      </c>
      <c r="E77" s="7">
        <f>('Imputed Data'!E77-'Imputed Data'!E76)/'Imputed Data'!E76</f>
        <v>1.8142235123367197E-3</v>
      </c>
      <c r="F77" s="7">
        <f>('Imputed Data'!F77-'Imputed Data'!F76)/'Imputed Data'!F76</f>
        <v>1.7973856209150325E-2</v>
      </c>
      <c r="G77" s="7">
        <f>('Imputed Data'!G77-'Imputed Data'!G76)/'Imputed Data'!G76</f>
        <v>-1.5324305060584501E-2</v>
      </c>
      <c r="H77" s="7">
        <f>('Imputed Data'!H77-'Imputed Data'!H76)/'Imputed Data'!H76</f>
        <v>7.0274068868583491E-4</v>
      </c>
      <c r="I77" s="7">
        <f>('Imputed Data'!I77-'Imputed Data'!I76)/'Imputed Data'!I76</f>
        <v>0</v>
      </c>
      <c r="J77" s="7">
        <f>('Imputed Data'!J77-'Imputed Data'!J76)/'Imputed Data'!J76</f>
        <v>3.2340116279069894E-2</v>
      </c>
      <c r="K77" s="7">
        <f>('Imputed Data'!K77-'Imputed Data'!K76)/'Imputed Data'!K76</f>
        <v>3.9215686274509935E-2</v>
      </c>
      <c r="L77" s="7">
        <f>('Imputed Data'!L77-'Imputed Data'!L76)/'Imputed Data'!L76</f>
        <v>1.2725779967159255E-2</v>
      </c>
      <c r="M77" s="7">
        <f>('Imputed Data'!M77-'Imputed Data'!M76)/'Imputed Data'!M76</f>
        <v>4.1284403669725033E-3</v>
      </c>
      <c r="N77" s="7">
        <f>('Imputed Data'!N77-'Imputed Data'!N76)/'Imputed Data'!N76</f>
        <v>1.4336917562723199E-3</v>
      </c>
      <c r="O77" s="7">
        <f>('Imputed Data'!O77-'Imputed Data'!O76)/'Imputed Data'!O76</f>
        <v>1.1219147344802222E-3</v>
      </c>
      <c r="P77" s="7">
        <f>('Imputed Data'!P77-'Imputed Data'!P76)/'Imputed Data'!P76</f>
        <v>9.6649484536086142E-4</v>
      </c>
      <c r="Q77" s="7">
        <f>('Imputed Data'!Q77-'Imputed Data'!Q76)/'Imputed Data'!Q76</f>
        <v>1.0137581462708224E-2</v>
      </c>
      <c r="R77" s="7">
        <f>('Imputed Data'!R77-'Imputed Data'!R76)/'Imputed Data'!R76</f>
        <v>1.8348623853211704E-3</v>
      </c>
      <c r="S77" s="7">
        <f>('Imputed Data'!S77-'Imputed Data'!S76)/'Imputed Data'!S76</f>
        <v>1.6903313049357674E-3</v>
      </c>
      <c r="T77" s="7">
        <f>('Imputed Data'!T77-'Imputed Data'!T76)/'Imputed Data'!T76</f>
        <v>1.7869907076483202E-3</v>
      </c>
      <c r="U77" s="7">
        <f>('Imputed Data'!U77-'Imputed Data'!U76)/'Imputed Data'!U76</f>
        <v>2.0449897750512026E-3</v>
      </c>
      <c r="V77" s="7">
        <f>('Imputed Data'!V77-'Imputed Data'!V76)/'Imputed Data'!V76</f>
        <v>3.6912751677853112E-3</v>
      </c>
      <c r="W77" s="7">
        <f>('Imputed Data'!W77-'Imputed Data'!W76)/'Imputed Data'!W76</f>
        <v>2.1474588403723079E-3</v>
      </c>
      <c r="X77" s="7">
        <f>('Imputed Data'!X77-'Imputed Data'!X76)/'Imputed Data'!X76</f>
        <v>-3.4770514603624036E-4</v>
      </c>
      <c r="Y77" s="7">
        <f>('Imputed Data'!Y77-'Imputed Data'!Y76)/'Imputed Data'!Y76</f>
        <v>2.3939808481533704E-3</v>
      </c>
      <c r="Z77" s="7">
        <f>('Imputed Data'!Z77-'Imputed Data'!Z76)/'Imputed Data'!Z76</f>
        <v>1.2038523274478788E-3</v>
      </c>
      <c r="AA77" s="7">
        <f>('Imputed Data'!AA77-'Imputed Data'!AA76)/'Imputed Data'!AA76</f>
        <v>5.4466230936819175E-3</v>
      </c>
      <c r="AB77" s="7">
        <f>('Imputed Data'!AB77-'Imputed Data'!AB76)/'Imputed Data'!AB76</f>
        <v>4.3246839654023763E-3</v>
      </c>
      <c r="AC77" s="7">
        <f>('Imputed Data'!AC77-'Imputed Data'!AC76)/'Imputed Data'!AC76</f>
        <v>0</v>
      </c>
      <c r="AD77" s="7">
        <f>('Imputed Data'!AD77-'Imputed Data'!AD76)/'Imputed Data'!AD76</f>
        <v>1.8155410312273058E-3</v>
      </c>
      <c r="AE77" s="7">
        <f>('Imputed Data'!AE77-'Imputed Data'!AE76)/'Imputed Data'!AE76</f>
        <v>5.698005698005576E-3</v>
      </c>
    </row>
    <row r="78" spans="1:31" x14ac:dyDescent="0.25">
      <c r="A78" s="1">
        <f>'Imputed Data'!A78</f>
        <v>43586</v>
      </c>
      <c r="B78" s="1" t="str">
        <f>'Imputed Data'!B78</f>
        <v>Rural+Urban</v>
      </c>
      <c r="C78" s="2">
        <f>'Imputed Data'!C78</f>
        <v>2019</v>
      </c>
      <c r="D78" s="1" t="str">
        <f>'Imputed Data'!D78</f>
        <v>May</v>
      </c>
      <c r="E78" s="7">
        <f>('Imputed Data'!E78-'Imputed Data'!E77)/'Imputed Data'!E77</f>
        <v>1.8109380659181455E-3</v>
      </c>
      <c r="F78" s="7">
        <f>('Imputed Data'!F78-'Imputed Data'!F77)/'Imputed Data'!F77</f>
        <v>1.7656500802568219E-2</v>
      </c>
      <c r="G78" s="7">
        <f>('Imputed Data'!G78-'Imputed Data'!G77)/'Imputed Data'!G77</f>
        <v>-1.5562794064422769E-2</v>
      </c>
      <c r="H78" s="7">
        <f>('Imputed Data'!H78-'Imputed Data'!H77)/'Imputed Data'!H77</f>
        <v>7.0224719101119604E-4</v>
      </c>
      <c r="I78" s="7">
        <f>('Imputed Data'!I78-'Imputed Data'!I77)/'Imputed Data'!I77</f>
        <v>0</v>
      </c>
      <c r="J78" s="7">
        <f>('Imputed Data'!J78-'Imputed Data'!J77)/'Imputed Data'!J77</f>
        <v>3.132699753607876E-2</v>
      </c>
      <c r="K78" s="7">
        <f>('Imputed Data'!K78-'Imputed Data'!K77)/'Imputed Data'!K77</f>
        <v>3.7735849056603689E-2</v>
      </c>
      <c r="L78" s="7">
        <f>('Imputed Data'!L78-'Imputed Data'!L77)/'Imputed Data'!L77</f>
        <v>1.2565869477097782E-2</v>
      </c>
      <c r="M78" s="7">
        <f>('Imputed Data'!M78-'Imputed Data'!M77)/'Imputed Data'!M77</f>
        <v>4.1114664230242374E-3</v>
      </c>
      <c r="N78" s="7">
        <f>('Imputed Data'!N78-'Imputed Data'!N77)/'Imputed Data'!N77</f>
        <v>1.4316392269149397E-3</v>
      </c>
      <c r="O78" s="7">
        <f>('Imputed Data'!O78-'Imputed Data'!O77)/'Imputed Data'!O77</f>
        <v>1.1206574523721009E-3</v>
      </c>
      <c r="P78" s="7">
        <f>('Imputed Data'!P78-'Imputed Data'!P77)/'Imputed Data'!P77</f>
        <v>9.6556163501773857E-4</v>
      </c>
      <c r="Q78" s="7">
        <f>('Imputed Data'!Q78-'Imputed Data'!Q77)/'Imputed Data'!Q77</f>
        <v>1.003584229390685E-2</v>
      </c>
      <c r="R78" s="7">
        <f>('Imputed Data'!R78-'Imputed Data'!R77)/'Imputed Data'!R77</f>
        <v>1.8315018315017272E-3</v>
      </c>
      <c r="S78" s="7">
        <f>('Imputed Data'!S78-'Imputed Data'!S77)/'Imputed Data'!S77</f>
        <v>1.6874789065136685E-3</v>
      </c>
      <c r="T78" s="7">
        <f>('Imputed Data'!T78-'Imputed Data'!T77)/'Imputed Data'!T77</f>
        <v>1.7838030681412772E-3</v>
      </c>
      <c r="U78" s="7">
        <f>('Imputed Data'!U78-'Imputed Data'!U77)/'Imputed Data'!U77</f>
        <v>2.0408163265306896E-3</v>
      </c>
      <c r="V78" s="7">
        <f>('Imputed Data'!V78-'Imputed Data'!V77)/'Imputed Data'!V77</f>
        <v>3.6776997659644459E-3</v>
      </c>
      <c r="W78" s="7">
        <f>('Imputed Data'!W78-'Imputed Data'!W77)/'Imputed Data'!W77</f>
        <v>2.1428571428572241E-3</v>
      </c>
      <c r="X78" s="7">
        <f>('Imputed Data'!X78-'Imputed Data'!X77)/'Imputed Data'!X77</f>
        <v>-3.478260869566008E-4</v>
      </c>
      <c r="Y78" s="7">
        <f>('Imputed Data'!Y78-'Imputed Data'!Y77)/'Imputed Data'!Y77</f>
        <v>2.3882633913339768E-3</v>
      </c>
      <c r="Z78" s="7">
        <f>('Imputed Data'!Z78-'Imputed Data'!Z77)/'Imputed Data'!Z77</f>
        <v>1.202404809619284E-3</v>
      </c>
      <c r="AA78" s="7">
        <f>('Imputed Data'!AA78-'Imputed Data'!AA77)/'Imputed Data'!AA77</f>
        <v>5.417118093174432E-3</v>
      </c>
      <c r="AB78" s="7">
        <f>('Imputed Data'!AB78-'Imputed Data'!AB77)/'Imputed Data'!AB77</f>
        <v>4.3060616098046086E-3</v>
      </c>
      <c r="AC78" s="7">
        <f>('Imputed Data'!AC78-'Imputed Data'!AC77)/'Imputed Data'!AC77</f>
        <v>0</v>
      </c>
      <c r="AD78" s="7">
        <f>('Imputed Data'!AD78-'Imputed Data'!AD77)/'Imputed Data'!AD77</f>
        <v>1.8122508155128671E-3</v>
      </c>
      <c r="AE78" s="7">
        <f>('Imputed Data'!AE78-'Imputed Data'!AE77)/'Imputed Data'!AE77</f>
        <v>5.6657223796034804E-3</v>
      </c>
    </row>
    <row r="79" spans="1:31" x14ac:dyDescent="0.25">
      <c r="A79" s="1">
        <f>'Imputed Data'!A79</f>
        <v>43617</v>
      </c>
      <c r="B79" s="1" t="str">
        <f>'Imputed Data'!B79</f>
        <v>Rural+Urban</v>
      </c>
      <c r="C79" s="2">
        <f>'Imputed Data'!C79</f>
        <v>2019</v>
      </c>
      <c r="D79" s="1" t="str">
        <f>'Imputed Data'!D79</f>
        <v>June</v>
      </c>
      <c r="E79" s="7">
        <f>('Imputed Data'!E79-'Imputed Data'!E78)/'Imputed Data'!E78</f>
        <v>2.8922631959506667E-3</v>
      </c>
      <c r="F79" s="7">
        <f>('Imputed Data'!F79-'Imputed Data'!F78)/'Imputed Data'!F78</f>
        <v>2.2712933753943183E-2</v>
      </c>
      <c r="G79" s="7">
        <f>('Imputed Data'!G79-'Imputed Data'!G78)/'Imputed Data'!G78</f>
        <v>1.3235294117647142E-2</v>
      </c>
      <c r="H79" s="7">
        <f>('Imputed Data'!H79-'Imputed Data'!H78)/'Imputed Data'!H78</f>
        <v>5.6140350877193776E-3</v>
      </c>
      <c r="I79" s="7">
        <f>('Imputed Data'!I79-'Imputed Data'!I78)/'Imputed Data'!I78</f>
        <v>1.6393442622951052E-3</v>
      </c>
      <c r="J79" s="7">
        <f>('Imputed Data'!J79-'Imputed Data'!J78)/'Imputed Data'!J78</f>
        <v>2.047781569965948E-3</v>
      </c>
      <c r="K79" s="7">
        <f>('Imputed Data'!K79-'Imputed Data'!K78)/'Imputed Data'!K78</f>
        <v>5.2447552447552448E-2</v>
      </c>
      <c r="L79" s="7">
        <f>('Imputed Data'!L79-'Imputed Data'!L78)/'Imputed Data'!L78</f>
        <v>2.7221777421937595E-2</v>
      </c>
      <c r="M79" s="7">
        <f>('Imputed Data'!M79-'Imputed Data'!M78)/'Imputed Data'!M78</f>
        <v>1.0009099181073651E-2</v>
      </c>
      <c r="N79" s="7">
        <f>('Imputed Data'!N79-'Imputed Data'!N78)/'Imputed Data'!N78</f>
        <v>5.0035739814152155E-3</v>
      </c>
      <c r="O79" s="7">
        <f>('Imputed Data'!O79-'Imputed Data'!O78)/'Imputed Data'!O78</f>
        <v>1.4925373134327511E-3</v>
      </c>
      <c r="P79" s="7">
        <f>('Imputed Data'!P79-'Imputed Data'!P78)/'Imputed Data'!P78</f>
        <v>2.5723472668810654E-3</v>
      </c>
      <c r="Q79" s="7">
        <f>('Imputed Data'!Q79-'Imputed Data'!Q78)/'Imputed Data'!Q78</f>
        <v>1.2775017743080078E-2</v>
      </c>
      <c r="R79" s="7">
        <f>('Imputed Data'!R79-'Imputed Data'!R78)/'Imputed Data'!R78</f>
        <v>4.8750761730652738E-3</v>
      </c>
      <c r="S79" s="7">
        <f>('Imputed Data'!S79-'Imputed Data'!S78)/'Imputed Data'!S78</f>
        <v>1.3477088948786295E-3</v>
      </c>
      <c r="T79" s="7">
        <f>('Imputed Data'!T79-'Imputed Data'!T78)/'Imputed Data'!T78</f>
        <v>0</v>
      </c>
      <c r="U79" s="7">
        <f>('Imputed Data'!U79-'Imputed Data'!U78)/'Imputed Data'!U78</f>
        <v>6.7888662593343049E-4</v>
      </c>
      <c r="V79" s="7">
        <f>('Imputed Data'!V79-'Imputed Data'!V78)/'Imputed Data'!V78</f>
        <v>-4.663557628247759E-3</v>
      </c>
      <c r="W79" s="7">
        <f>('Imputed Data'!W79-'Imputed Data'!W78)/'Imputed Data'!W78</f>
        <v>6.4148253741979841E-3</v>
      </c>
      <c r="X79" s="7">
        <f>('Imputed Data'!X79-'Imputed Data'!X78)/'Imputed Data'!X78</f>
        <v>6.9589422407809849E-4</v>
      </c>
      <c r="Y79" s="7">
        <f>('Imputed Data'!Y79-'Imputed Data'!Y78)/'Imputed Data'!Y78</f>
        <v>3.4036759700476512E-3</v>
      </c>
      <c r="Z79" s="7">
        <f>('Imputed Data'!Z79-'Imputed Data'!Z78)/'Imputed Data'!Z78</f>
        <v>-2.4019215372298747E-3</v>
      </c>
      <c r="AA79" s="7">
        <f>('Imputed Data'!AA79-'Imputed Data'!AA78)/'Imputed Data'!AA78</f>
        <v>2.8735632183908458E-3</v>
      </c>
      <c r="AB79" s="7">
        <f>('Imputed Data'!AB79-'Imputed Data'!AB78)/'Imputed Data'!AB78</f>
        <v>5.9366754617414625E-3</v>
      </c>
      <c r="AC79" s="7">
        <f>('Imputed Data'!AC79-'Imputed Data'!AC78)/'Imputed Data'!AC78</f>
        <v>6.7466266866567136E-3</v>
      </c>
      <c r="AD79" s="7">
        <f>('Imputed Data'!AD79-'Imputed Data'!AD78)/'Imputed Data'!AD78</f>
        <v>2.8943560057887534E-3</v>
      </c>
      <c r="AE79" s="7">
        <f>('Imputed Data'!AE79-'Imputed Data'!AE78)/'Imputed Data'!AE78</f>
        <v>6.3380281690141246E-3</v>
      </c>
    </row>
    <row r="80" spans="1:31" x14ac:dyDescent="0.25">
      <c r="A80" s="1">
        <f>'Imputed Data'!A80</f>
        <v>43647</v>
      </c>
      <c r="B80" s="1" t="str">
        <f>'Imputed Data'!B80</f>
        <v>Rural+Urban</v>
      </c>
      <c r="C80" s="2">
        <f>'Imputed Data'!C80</f>
        <v>2019</v>
      </c>
      <c r="D80" s="1" t="str">
        <f>'Imputed Data'!D80</f>
        <v>July</v>
      </c>
      <c r="E80" s="7">
        <f>('Imputed Data'!E80-'Imputed Data'!E79)/'Imputed Data'!E79</f>
        <v>4.3258832011537334E-3</v>
      </c>
      <c r="F80" s="7">
        <f>('Imputed Data'!F80-'Imputed Data'!F79)/'Imputed Data'!F79</f>
        <v>3.7014188772362391E-3</v>
      </c>
      <c r="G80" s="7">
        <f>('Imputed Data'!G80-'Imputed Data'!G79)/'Imputed Data'!G79</f>
        <v>1.5965166908563051E-2</v>
      </c>
      <c r="H80" s="7">
        <f>('Imputed Data'!H80-'Imputed Data'!H79)/'Imputed Data'!H79</f>
        <v>4.8848569434751469E-3</v>
      </c>
      <c r="I80" s="7">
        <f>('Imputed Data'!I80-'Imputed Data'!I79)/'Imputed Data'!I79</f>
        <v>2.4549918166939209E-3</v>
      </c>
      <c r="J80" s="7">
        <f>('Imputed Data'!J80-'Imputed Data'!J79)/'Imputed Data'!J79</f>
        <v>2.3841961852861034E-2</v>
      </c>
      <c r="K80" s="7">
        <f>('Imputed Data'!K80-'Imputed Data'!K79)/'Imputed Data'!K79</f>
        <v>6.5116279069767524E-2</v>
      </c>
      <c r="L80" s="7">
        <f>('Imputed Data'!L80-'Imputed Data'!L79)/'Imputed Data'!L79</f>
        <v>1.3250194855806613E-2</v>
      </c>
      <c r="M80" s="7">
        <f>('Imputed Data'!M80-'Imputed Data'!M79)/'Imputed Data'!M79</f>
        <v>9.0090090090084974E-4</v>
      </c>
      <c r="N80" s="7">
        <f>('Imputed Data'!N80-'Imputed Data'!N79)/'Imputed Data'!N79</f>
        <v>7.8236130867709412E-3</v>
      </c>
      <c r="O80" s="7">
        <f>('Imputed Data'!O80-'Imputed Data'!O79)/'Imputed Data'!O79</f>
        <v>3.7257824143070049E-3</v>
      </c>
      <c r="P80" s="7">
        <f>('Imputed Data'!P80-'Imputed Data'!P79)/'Imputed Data'!P79</f>
        <v>1.9243104554200316E-3</v>
      </c>
      <c r="Q80" s="7">
        <f>('Imputed Data'!Q80-'Imputed Data'!Q79)/'Imputed Data'!Q79</f>
        <v>1.4015416958654521E-2</v>
      </c>
      <c r="R80" s="7">
        <f>('Imputed Data'!R80-'Imputed Data'!R79)/'Imputed Data'!R79</f>
        <v>1.8192844147967432E-3</v>
      </c>
      <c r="S80" s="7">
        <f>('Imputed Data'!S80-'Imputed Data'!S79)/'Imputed Data'!S79</f>
        <v>2.0188425302827147E-3</v>
      </c>
      <c r="T80" s="7">
        <f>('Imputed Data'!T80-'Imputed Data'!T79)/'Imputed Data'!T79</f>
        <v>7.1225071225067174E-4</v>
      </c>
      <c r="U80" s="7">
        <f>('Imputed Data'!U80-'Imputed Data'!U79)/'Imputed Data'!U79</f>
        <v>1.3568521031206828E-3</v>
      </c>
      <c r="V80" s="7">
        <f>('Imputed Data'!V80-'Imputed Data'!V79)/'Imputed Data'!V79</f>
        <v>8.0321285140561478E-3</v>
      </c>
      <c r="W80" s="7">
        <f>('Imputed Data'!W80-'Imputed Data'!W79)/'Imputed Data'!W79</f>
        <v>-1.3456090651557914E-2</v>
      </c>
      <c r="X80" s="7">
        <f>('Imputed Data'!X80-'Imputed Data'!X79)/'Imputed Data'!X79</f>
        <v>2.7816411682891323E-3</v>
      </c>
      <c r="Y80" s="7">
        <f>('Imputed Data'!Y80-'Imputed Data'!Y79)/'Imputed Data'!Y79</f>
        <v>3.3921302578018993E-3</v>
      </c>
      <c r="Z80" s="7">
        <f>('Imputed Data'!Z80-'Imputed Data'!Z79)/'Imputed Data'!Z79</f>
        <v>8.0256821829855548E-3</v>
      </c>
      <c r="AA80" s="7">
        <f>('Imputed Data'!AA80-'Imputed Data'!AA79)/'Imputed Data'!AA79</f>
        <v>6.4469914040115022E-3</v>
      </c>
      <c r="AB80" s="7">
        <f>('Imputed Data'!AB80-'Imputed Data'!AB79)/'Imputed Data'!AB79</f>
        <v>9.8360655737704927E-3</v>
      </c>
      <c r="AC80" s="7">
        <f>('Imputed Data'!AC80-'Imputed Data'!AC79)/'Imputed Data'!AC79</f>
        <v>1.0424422933730283E-2</v>
      </c>
      <c r="AD80" s="7">
        <f>('Imputed Data'!AD80-'Imputed Data'!AD79)/'Imputed Data'!AD79</f>
        <v>6.4935064935065347E-3</v>
      </c>
      <c r="AE80" s="7">
        <f>('Imputed Data'!AE80-'Imputed Data'!AE79)/'Imputed Data'!AE79</f>
        <v>9.0972708187542547E-3</v>
      </c>
    </row>
    <row r="81" spans="1:31" x14ac:dyDescent="0.25">
      <c r="A81" s="1">
        <f>'Imputed Data'!A81</f>
        <v>43678</v>
      </c>
      <c r="B81" s="1" t="str">
        <f>'Imputed Data'!B81</f>
        <v>Rural+Urban</v>
      </c>
      <c r="C81" s="2">
        <f>'Imputed Data'!C81</f>
        <v>2019</v>
      </c>
      <c r="D81" s="1" t="str">
        <f>'Imputed Data'!D81</f>
        <v>August</v>
      </c>
      <c r="E81" s="7">
        <f>('Imputed Data'!E81-'Imputed Data'!E80)/'Imputed Data'!E80</f>
        <v>5.7430007178749668E-3</v>
      </c>
      <c r="F81" s="7">
        <f>('Imputed Data'!F81-'Imputed Data'!F80)/'Imputed Data'!F80</f>
        <v>-1.2907191149354607E-2</v>
      </c>
      <c r="G81" s="7">
        <f>('Imputed Data'!G81-'Imputed Data'!G80)/'Imputed Data'!G80</f>
        <v>-1.0714285714285714E-2</v>
      </c>
      <c r="H81" s="7">
        <f>('Imputed Data'!H81-'Imputed Data'!H80)/'Imputed Data'!H80</f>
        <v>4.8611111111110323E-3</v>
      </c>
      <c r="I81" s="7">
        <f>('Imputed Data'!I81-'Imputed Data'!I80)/'Imputed Data'!I80</f>
        <v>3.2653061224490261E-3</v>
      </c>
      <c r="J81" s="7">
        <f>('Imputed Data'!J81-'Imputed Data'!J80)/'Imputed Data'!J80</f>
        <v>-5.988023952095846E-3</v>
      </c>
      <c r="K81" s="7">
        <f>('Imputed Data'!K81-'Imputed Data'!K80)/'Imputed Data'!K80</f>
        <v>4.4291952588895782E-2</v>
      </c>
      <c r="L81" s="7">
        <f>('Imputed Data'!L81-'Imputed Data'!L80)/'Imputed Data'!L80</f>
        <v>6.9230769230769667E-3</v>
      </c>
      <c r="M81" s="7">
        <f>('Imputed Data'!M81-'Imputed Data'!M80)/'Imputed Data'!M80</f>
        <v>8.1008100810081515E-3</v>
      </c>
      <c r="N81" s="7">
        <f>('Imputed Data'!N81-'Imputed Data'!N80)/'Imputed Data'!N80</f>
        <v>6.3514467184192357E-3</v>
      </c>
      <c r="O81" s="7">
        <f>('Imputed Data'!O81-'Imputed Data'!O80)/'Imputed Data'!O80</f>
        <v>1.4847809948033933E-3</v>
      </c>
      <c r="P81" s="7">
        <f>('Imputed Data'!P81-'Imputed Data'!P80)/'Imputed Data'!P80</f>
        <v>2.5608194622279497E-3</v>
      </c>
      <c r="Q81" s="7">
        <f>('Imputed Data'!Q81-'Imputed Data'!Q80)/'Imputed Data'!Q80</f>
        <v>8.2930200414652183E-3</v>
      </c>
      <c r="R81" s="7">
        <f>('Imputed Data'!R81-'Imputed Data'!R80)/'Imputed Data'!R80</f>
        <v>3.6319612590800412E-3</v>
      </c>
      <c r="S81" s="7">
        <f>('Imputed Data'!S81-'Imputed Data'!S80)/'Imputed Data'!S80</f>
        <v>1.3431833445264514E-3</v>
      </c>
      <c r="T81" s="7">
        <f>('Imputed Data'!T81-'Imputed Data'!T80)/'Imputed Data'!T80</f>
        <v>7.1174377224195238E-4</v>
      </c>
      <c r="U81" s="7">
        <f>('Imputed Data'!U81-'Imputed Data'!U80)/'Imputed Data'!U80</f>
        <v>2.032520325203329E-3</v>
      </c>
      <c r="V81" s="7">
        <f>('Imputed Data'!V81-'Imputed Data'!V80)/'Imputed Data'!V80</f>
        <v>6.6401062416998674E-3</v>
      </c>
      <c r="W81" s="7">
        <f>('Imputed Data'!W81-'Imputed Data'!W80)/'Imputed Data'!W80</f>
        <v>-5.7430007178751706E-3</v>
      </c>
      <c r="X81" s="7">
        <f>('Imputed Data'!X81-'Imputed Data'!X80)/'Imputed Data'!X80</f>
        <v>2.0804438280167224E-3</v>
      </c>
      <c r="Y81" s="7">
        <f>('Imputed Data'!Y81-'Imputed Data'!Y80)/'Imputed Data'!Y80</f>
        <v>4.0567951318458036E-3</v>
      </c>
      <c r="Z81" s="7">
        <f>('Imputed Data'!Z81-'Imputed Data'!Z80)/'Imputed Data'!Z80</f>
        <v>1.5923566878981118E-3</v>
      </c>
      <c r="AA81" s="7">
        <f>('Imputed Data'!AA81-'Imputed Data'!AA80)/'Imputed Data'!AA80</f>
        <v>2.8469750889680121E-3</v>
      </c>
      <c r="AB81" s="7">
        <f>('Imputed Data'!AB81-'Imputed Data'!AB80)/'Imputed Data'!AB80</f>
        <v>5.8441558441558808E-3</v>
      </c>
      <c r="AC81" s="7">
        <f>('Imputed Data'!AC81-'Imputed Data'!AC80)/'Imputed Data'!AC80</f>
        <v>1.9896831245394379E-2</v>
      </c>
      <c r="AD81" s="7">
        <f>('Imputed Data'!AD81-'Imputed Data'!AD80)/'Imputed Data'!AD80</f>
        <v>5.0179211469533235E-3</v>
      </c>
      <c r="AE81" s="7">
        <f>('Imputed Data'!AE81-'Imputed Data'!AE80)/'Imputed Data'!AE80</f>
        <v>5.5478502080444619E-3</v>
      </c>
    </row>
    <row r="82" spans="1:31" x14ac:dyDescent="0.25">
      <c r="A82" s="1">
        <f>'Imputed Data'!A82</f>
        <v>43709</v>
      </c>
      <c r="B82" s="1" t="str">
        <f>'Imputed Data'!B82</f>
        <v>Rural+Urban</v>
      </c>
      <c r="C82" s="2">
        <f>'Imputed Data'!C82</f>
        <v>2019</v>
      </c>
      <c r="D82" s="1" t="str">
        <f>'Imputed Data'!D82</f>
        <v>September</v>
      </c>
      <c r="E82" s="7">
        <f>('Imputed Data'!E82-'Imputed Data'!E81)/'Imputed Data'!E81</f>
        <v>5.7102069950036504E-3</v>
      </c>
      <c r="F82" s="7">
        <f>('Imputed Data'!F82-'Imputed Data'!F81)/'Imputed Data'!F81</f>
        <v>1.2453300124534064E-3</v>
      </c>
      <c r="G82" s="7">
        <f>('Imputed Data'!G82-'Imputed Data'!G81)/'Imputed Data'!G81</f>
        <v>7.9422382671479729E-3</v>
      </c>
      <c r="H82" s="7">
        <f>('Imputed Data'!H82-'Imputed Data'!H81)/'Imputed Data'!H81</f>
        <v>4.8375950241880935E-3</v>
      </c>
      <c r="I82" s="7">
        <f>('Imputed Data'!I82-'Imputed Data'!I81)/'Imputed Data'!I81</f>
        <v>4.8820179007322559E-3</v>
      </c>
      <c r="J82" s="7">
        <f>('Imputed Data'!J82-'Imputed Data'!J81)/'Imputed Data'!J81</f>
        <v>-1.8741633199464602E-2</v>
      </c>
      <c r="K82" s="7">
        <f>('Imputed Data'!K82-'Imputed Data'!K81)/'Imputed Data'!K81</f>
        <v>3.4647550776582929E-2</v>
      </c>
      <c r="L82" s="7">
        <f>('Imputed Data'!L82-'Imputed Data'!L81)/'Imputed Data'!L81</f>
        <v>5.3475935828876135E-3</v>
      </c>
      <c r="M82" s="7">
        <f>('Imputed Data'!M82-'Imputed Data'!M81)/'Imputed Data'!M81</f>
        <v>1.071428571428574E-2</v>
      </c>
      <c r="N82" s="7">
        <f>('Imputed Data'!N82-'Imputed Data'!N81)/'Imputed Data'!N81</f>
        <v>1.0518934081346423E-2</v>
      </c>
      <c r="O82" s="7">
        <f>('Imputed Data'!O82-'Imputed Data'!O81)/'Imputed Data'!O81</f>
        <v>7.4128984432909049E-4</v>
      </c>
      <c r="P82" s="7">
        <f>('Imputed Data'!P82-'Imputed Data'!P81)/'Imputed Data'!P81</f>
        <v>1.2771392081737999E-3</v>
      </c>
      <c r="Q82" s="7">
        <f>('Imputed Data'!Q82-'Imputed Data'!Q81)/'Imputed Data'!Q81</f>
        <v>7.5394105551747376E-3</v>
      </c>
      <c r="R82" s="7">
        <f>('Imputed Data'!R82-'Imputed Data'!R81)/'Imputed Data'!R81</f>
        <v>4.2219541616404623E-3</v>
      </c>
      <c r="S82" s="7">
        <f>('Imputed Data'!S82-'Imputed Data'!S81)/'Imputed Data'!S81</f>
        <v>6.7069081153584389E-4</v>
      </c>
      <c r="T82" s="7">
        <f>('Imputed Data'!T82-'Imputed Data'!T81)/'Imputed Data'!T81</f>
        <v>0</v>
      </c>
      <c r="U82" s="7">
        <f>('Imputed Data'!U82-'Imputed Data'!U81)/'Imputed Data'!U81</f>
        <v>0</v>
      </c>
      <c r="V82" s="7">
        <f>('Imputed Data'!V82-'Imputed Data'!V81)/'Imputed Data'!V81</f>
        <v>3.9577836411609129E-3</v>
      </c>
      <c r="W82" s="7">
        <f>('Imputed Data'!W82-'Imputed Data'!W81)/'Imputed Data'!W81</f>
        <v>5.0541516245486548E-3</v>
      </c>
      <c r="X82" s="7">
        <f>('Imputed Data'!X82-'Imputed Data'!X81)/'Imputed Data'!X81</f>
        <v>6.920415224913101E-4</v>
      </c>
      <c r="Y82" s="7">
        <f>('Imputed Data'!Y82-'Imputed Data'!Y81)/'Imputed Data'!Y81</f>
        <v>3.3670033670033669E-3</v>
      </c>
      <c r="Z82" s="7">
        <f>('Imputed Data'!Z82-'Imputed Data'!Z81)/'Imputed Data'!Z81</f>
        <v>2.3847376788553032E-3</v>
      </c>
      <c r="AA82" s="7">
        <f>('Imputed Data'!AA82-'Imputed Data'!AA81)/'Imputed Data'!AA81</f>
        <v>2.8388928317956402E-3</v>
      </c>
      <c r="AB82" s="7">
        <f>('Imputed Data'!AB82-'Imputed Data'!AB81)/'Imputed Data'!AB81</f>
        <v>1.9367333763717427E-3</v>
      </c>
      <c r="AC82" s="7">
        <f>('Imputed Data'!AC82-'Imputed Data'!AC81)/'Imputed Data'!AC81</f>
        <v>9.3930635838149045E-3</v>
      </c>
      <c r="AD82" s="7">
        <f>('Imputed Data'!AD82-'Imputed Data'!AD81)/'Imputed Data'!AD81</f>
        <v>3.566333808844508E-3</v>
      </c>
      <c r="AE82" s="7">
        <f>('Imputed Data'!AE82-'Imputed Data'!AE81)/'Imputed Data'!AE81</f>
        <v>5.5172413793104233E-3</v>
      </c>
    </row>
    <row r="83" spans="1:31" x14ac:dyDescent="0.25">
      <c r="A83" s="1">
        <f>'Imputed Data'!A83</f>
        <v>43739</v>
      </c>
      <c r="B83" s="1" t="str">
        <f>'Imputed Data'!B83</f>
        <v>Rural+Urban</v>
      </c>
      <c r="C83" s="2">
        <f>'Imputed Data'!C83</f>
        <v>2019</v>
      </c>
      <c r="D83" s="1" t="str">
        <f>'Imputed Data'!D83</f>
        <v>October</v>
      </c>
      <c r="E83" s="7">
        <f>('Imputed Data'!E83-'Imputed Data'!E82)/'Imputed Data'!E82</f>
        <v>6.3875088715401396E-3</v>
      </c>
      <c r="F83" s="7">
        <f>('Imputed Data'!F83-'Imputed Data'!F82)/'Imputed Data'!F82</f>
        <v>1.2437810945272925E-3</v>
      </c>
      <c r="G83" s="7">
        <f>('Imputed Data'!G83-'Imputed Data'!G82)/'Imputed Data'!G82</f>
        <v>2.1489971346704873E-2</v>
      </c>
      <c r="H83" s="7">
        <f>('Imputed Data'!H83-'Imputed Data'!H82)/'Imputed Data'!H82</f>
        <v>5.50206327372753E-3</v>
      </c>
      <c r="I83" s="7">
        <f>('Imputed Data'!I83-'Imputed Data'!I82)/'Imputed Data'!I82</f>
        <v>3.2388663967611794E-3</v>
      </c>
      <c r="J83" s="7">
        <f>('Imputed Data'!J83-'Imputed Data'!J82)/'Imputed Data'!J82</f>
        <v>9.549795361528007E-3</v>
      </c>
      <c r="K83" s="7">
        <f>('Imputed Data'!K83-'Imputed Data'!K82)/'Imputed Data'!K82</f>
        <v>8.7759815242494335E-2</v>
      </c>
      <c r="L83" s="7">
        <f>('Imputed Data'!L83-'Imputed Data'!L82)/'Imputed Data'!L82</f>
        <v>6.8389057750760313E-3</v>
      </c>
      <c r="M83" s="7">
        <f>('Imputed Data'!M83-'Imputed Data'!M82)/'Imputed Data'!M82</f>
        <v>7.0671378091872539E-3</v>
      </c>
      <c r="N83" s="7">
        <f>('Imputed Data'!N83-'Imputed Data'!N82)/'Imputed Data'!N82</f>
        <v>9.02151283830681E-3</v>
      </c>
      <c r="O83" s="7">
        <f>('Imputed Data'!O83-'Imputed Data'!O82)/'Imputed Data'!O82</f>
        <v>7.4074074074069864E-4</v>
      </c>
      <c r="P83" s="7">
        <f>('Imputed Data'!P83-'Imputed Data'!P82)/'Imputed Data'!P82</f>
        <v>1.9132653061223401E-3</v>
      </c>
      <c r="Q83" s="7">
        <f>('Imputed Data'!Q83-'Imputed Data'!Q82)/'Imputed Data'!Q82</f>
        <v>1.7687074829931933E-2</v>
      </c>
      <c r="R83" s="7">
        <f>('Imputed Data'!R83-'Imputed Data'!R82)/'Imputed Data'!R82</f>
        <v>3.6036036036035694E-3</v>
      </c>
      <c r="S83" s="7">
        <f>('Imputed Data'!S83-'Imputed Data'!S82)/'Imputed Data'!S82</f>
        <v>1.3404825737266559E-3</v>
      </c>
      <c r="T83" s="7">
        <f>('Imputed Data'!T83-'Imputed Data'!T82)/'Imputed Data'!T82</f>
        <v>1.4224751066857543E-3</v>
      </c>
      <c r="U83" s="7">
        <f>('Imputed Data'!U83-'Imputed Data'!U82)/'Imputed Data'!U82</f>
        <v>2.0283975659228055E-3</v>
      </c>
      <c r="V83" s="7">
        <f>('Imputed Data'!V83-'Imputed Data'!V82)/'Imputed Data'!V82</f>
        <v>5.2562417871222823E-3</v>
      </c>
      <c r="W83" s="7">
        <f>('Imputed Data'!W83-'Imputed Data'!W82)/'Imputed Data'!W82</f>
        <v>1.0057471264367858E-2</v>
      </c>
      <c r="X83" s="7">
        <f>('Imputed Data'!X83-'Imputed Data'!X82)/'Imputed Data'!X82</f>
        <v>2.7662517289073702E-3</v>
      </c>
      <c r="Y83" s="7">
        <f>('Imputed Data'!Y83-'Imputed Data'!Y82)/'Imputed Data'!Y82</f>
        <v>2.6845637583892998E-3</v>
      </c>
      <c r="Z83" s="7">
        <f>('Imputed Data'!Z83-'Imputed Data'!Z82)/'Imputed Data'!Z82</f>
        <v>1.5860428231562478E-3</v>
      </c>
      <c r="AA83" s="7">
        <f>('Imputed Data'!AA83-'Imputed Data'!AA82)/'Imputed Data'!AA82</f>
        <v>2.8308563340408862E-3</v>
      </c>
      <c r="AB83" s="7">
        <f>('Imputed Data'!AB83-'Imputed Data'!AB82)/'Imputed Data'!AB82</f>
        <v>1.2886597938145429E-3</v>
      </c>
      <c r="AC83" s="7">
        <f>('Imputed Data'!AC83-'Imputed Data'!AC82)/'Imputed Data'!AC82</f>
        <v>2.1474588403723079E-3</v>
      </c>
      <c r="AD83" s="7">
        <f>('Imputed Data'!AD83-'Imputed Data'!AD82)/'Imputed Data'!AD82</f>
        <v>2.1321961620469894E-3</v>
      </c>
      <c r="AE83" s="7">
        <f>('Imputed Data'!AE83-'Imputed Data'!AE82)/'Imputed Data'!AE82</f>
        <v>9.6021947873798155E-3</v>
      </c>
    </row>
    <row r="84" spans="1:31" x14ac:dyDescent="0.25">
      <c r="A84" s="1">
        <f>'Imputed Data'!A84</f>
        <v>43770</v>
      </c>
      <c r="B84" s="1" t="str">
        <f>'Imputed Data'!B84</f>
        <v>Rural+Urban</v>
      </c>
      <c r="C84" s="2">
        <f>'Imputed Data'!C84</f>
        <v>2019</v>
      </c>
      <c r="D84" s="1" t="str">
        <f>'Imputed Data'!D84</f>
        <v>November</v>
      </c>
      <c r="E84" s="7">
        <f>('Imputed Data'!E84-'Imputed Data'!E83)/'Imputed Data'!E83</f>
        <v>4.9365303244004836E-3</v>
      </c>
      <c r="F84" s="7">
        <f>('Imputed Data'!F84-'Imputed Data'!F83)/'Imputed Data'!F83</f>
        <v>1.3664596273291855E-2</v>
      </c>
      <c r="G84" s="7">
        <f>('Imputed Data'!G84-'Imputed Data'!G83)/'Imputed Data'!G83</f>
        <v>2.1037868162692847E-2</v>
      </c>
      <c r="H84" s="7">
        <f>('Imputed Data'!H84-'Imputed Data'!H83)/'Imputed Data'!H83</f>
        <v>3.4199726402188786E-3</v>
      </c>
      <c r="I84" s="7">
        <f>('Imputed Data'!I84-'Imputed Data'!I83)/'Imputed Data'!I83</f>
        <v>3.2284100080709559E-3</v>
      </c>
      <c r="J84" s="7">
        <f>('Imputed Data'!J84-'Imputed Data'!J83)/'Imputed Data'!J83</f>
        <v>-4.0540540540540152E-3</v>
      </c>
      <c r="K84" s="7">
        <f>('Imputed Data'!K84-'Imputed Data'!K83)/'Imputed Data'!K83</f>
        <v>5.9447983014861934E-2</v>
      </c>
      <c r="L84" s="7">
        <f>('Imputed Data'!L84-'Imputed Data'!L83)/'Imputed Data'!L83</f>
        <v>2.4150943396226331E-2</v>
      </c>
      <c r="M84" s="7">
        <f>('Imputed Data'!M84-'Imputed Data'!M83)/'Imputed Data'!M83</f>
        <v>1.7543859649123057E-3</v>
      </c>
      <c r="N84" s="7">
        <f>('Imputed Data'!N84-'Imputed Data'!N83)/'Imputed Data'!N83</f>
        <v>1.1004126547455256E-2</v>
      </c>
      <c r="O84" s="7">
        <f>('Imputed Data'!O84-'Imputed Data'!O83)/'Imputed Data'!O83</f>
        <v>1.4803849000741456E-3</v>
      </c>
      <c r="P84" s="7">
        <f>('Imputed Data'!P84-'Imputed Data'!P83)/'Imputed Data'!P83</f>
        <v>2.5461489497135945E-3</v>
      </c>
      <c r="Q84" s="7">
        <f>('Imputed Data'!Q84-'Imputed Data'!Q83)/'Imputed Data'!Q83</f>
        <v>1.5374331550802216E-2</v>
      </c>
      <c r="R84" s="7">
        <f>('Imputed Data'!R84-'Imputed Data'!R83)/'Imputed Data'!R83</f>
        <v>4.7875523638540481E-3</v>
      </c>
      <c r="S84" s="7">
        <f>('Imputed Data'!S84-'Imputed Data'!S83)/'Imputed Data'!S83</f>
        <v>3.3467202141900937E-3</v>
      </c>
      <c r="T84" s="7">
        <f>('Imputed Data'!T84-'Imputed Data'!T83)/'Imputed Data'!T83</f>
        <v>1.4204545454544646E-3</v>
      </c>
      <c r="U84" s="7">
        <f>('Imputed Data'!U84-'Imputed Data'!U83)/'Imputed Data'!U83</f>
        <v>2.6990553306343165E-3</v>
      </c>
      <c r="V84" s="7">
        <f>('Imputed Data'!V84-'Imputed Data'!V83)/'Imputed Data'!V83</f>
        <v>3.2679738562091504E-3</v>
      </c>
      <c r="W84" s="7">
        <f>('Imputed Data'!W84-'Imputed Data'!W83)/'Imputed Data'!W83</f>
        <v>1.2091038406828002E-2</v>
      </c>
      <c r="X84" s="7">
        <f>('Imputed Data'!X84-'Imputed Data'!X83)/'Imputed Data'!X83</f>
        <v>2.0689655172414579E-3</v>
      </c>
      <c r="Y84" s="7">
        <f>('Imputed Data'!Y84-'Imputed Data'!Y83)/'Imputed Data'!Y83</f>
        <v>3.3467202141900937E-3</v>
      </c>
      <c r="Z84" s="7">
        <f>('Imputed Data'!Z84-'Imputed Data'!Z83)/'Imputed Data'!Z83</f>
        <v>2.3752969121139918E-3</v>
      </c>
      <c r="AA84" s="7">
        <f>('Imputed Data'!AA84-'Imputed Data'!AA83)/'Imputed Data'!AA83</f>
        <v>2.8228652081863496E-3</v>
      </c>
      <c r="AB84" s="7">
        <f>('Imputed Data'!AB84-'Imputed Data'!AB83)/'Imputed Data'!AB83</f>
        <v>6.4350064350060694E-4</v>
      </c>
      <c r="AC84" s="7">
        <f>('Imputed Data'!AC84-'Imputed Data'!AC83)/'Imputed Data'!AC83</f>
        <v>2.1428571428572241E-3</v>
      </c>
      <c r="AD84" s="7">
        <f>('Imputed Data'!AD84-'Imputed Data'!AD83)/'Imputed Data'!AD83</f>
        <v>2.1276595744681658E-3</v>
      </c>
      <c r="AE84" s="7">
        <f>('Imputed Data'!AE84-'Imputed Data'!AE83)/'Imputed Data'!AE83</f>
        <v>9.5108695652174301E-3</v>
      </c>
    </row>
    <row r="85" spans="1:31" x14ac:dyDescent="0.25">
      <c r="A85" s="1">
        <f>'Imputed Data'!A85</f>
        <v>43800</v>
      </c>
      <c r="B85" s="1" t="str">
        <f>'Imputed Data'!B85</f>
        <v>Rural+Urban</v>
      </c>
      <c r="C85" s="2">
        <f>'Imputed Data'!C85</f>
        <v>2019</v>
      </c>
      <c r="D85" s="1" t="str">
        <f>'Imputed Data'!D85</f>
        <v>December</v>
      </c>
      <c r="E85" s="7">
        <f>('Imputed Data'!E85-'Imputed Data'!E84)/'Imputed Data'!E84</f>
        <v>7.0175438596491229E-3</v>
      </c>
      <c r="F85" s="7">
        <f>('Imputed Data'!F85-'Imputed Data'!F84)/'Imputed Data'!F84</f>
        <v>1.1029411764705952E-2</v>
      </c>
      <c r="G85" s="7">
        <f>('Imputed Data'!G85-'Imputed Data'!G84)/'Imputed Data'!G84</f>
        <v>3.7774725274725279E-2</v>
      </c>
      <c r="H85" s="7">
        <f>('Imputed Data'!H85-'Imputed Data'!H84)/'Imputed Data'!H84</f>
        <v>1.0906612133606155E-2</v>
      </c>
      <c r="I85" s="7">
        <f>('Imputed Data'!I85-'Imputed Data'!I84)/'Imputed Data'!I84</f>
        <v>1.126307320997591E-2</v>
      </c>
      <c r="J85" s="7">
        <f>('Imputed Data'!J85-'Imputed Data'!J84)/'Imputed Data'!J84</f>
        <v>-1.1533242876526574E-2</v>
      </c>
      <c r="K85" s="7">
        <f>('Imputed Data'!K85-'Imputed Data'!K84)/'Imputed Data'!K84</f>
        <v>8.7174348697394821E-2</v>
      </c>
      <c r="L85" s="7">
        <f>('Imputed Data'!L85-'Imputed Data'!L84)/'Imputed Data'!L84</f>
        <v>1.9159911569639077E-2</v>
      </c>
      <c r="M85" s="7">
        <f>('Imputed Data'!M85-'Imputed Data'!M84)/'Imputed Data'!M84</f>
        <v>-1.7513134851138603E-3</v>
      </c>
      <c r="N85" s="7">
        <f>('Imputed Data'!N85-'Imputed Data'!N84)/'Imputed Data'!N84</f>
        <v>1.1564625850340059E-2</v>
      </c>
      <c r="O85" s="7">
        <f>('Imputed Data'!O85-'Imputed Data'!O84)/'Imputed Data'!O84</f>
        <v>3.6954915003695487E-3</v>
      </c>
      <c r="P85" s="7">
        <f>('Imputed Data'!P85-'Imputed Data'!P84)/'Imputed Data'!P84</f>
        <v>3.1746031746031746E-3</v>
      </c>
      <c r="Q85" s="7">
        <f>('Imputed Data'!Q85-'Imputed Data'!Q84)/'Imputed Data'!Q84</f>
        <v>2.0408163265306083E-2</v>
      </c>
      <c r="R85" s="7">
        <f>('Imputed Data'!R85-'Imputed Data'!R84)/'Imputed Data'!R84</f>
        <v>3.573555687909436E-3</v>
      </c>
      <c r="S85" s="7">
        <f>('Imputed Data'!S85-'Imputed Data'!S84)/'Imputed Data'!S84</f>
        <v>2.6684456304203181E-3</v>
      </c>
      <c r="T85" s="7">
        <f>('Imputed Data'!T85-'Imputed Data'!T84)/'Imputed Data'!T84</f>
        <v>2.1276595744681658E-3</v>
      </c>
      <c r="U85" s="7">
        <f>('Imputed Data'!U85-'Imputed Data'!U84)/'Imputed Data'!U84</f>
        <v>2.6917900403768888E-3</v>
      </c>
      <c r="V85" s="7">
        <f>('Imputed Data'!V85-'Imputed Data'!V84)/'Imputed Data'!V84</f>
        <v>-4.5602605863191443E-3</v>
      </c>
      <c r="W85" s="7">
        <f>('Imputed Data'!W85-'Imputed Data'!W84)/'Imputed Data'!W84</f>
        <v>9.8383696416020888E-3</v>
      </c>
      <c r="X85" s="7">
        <f>('Imputed Data'!X85-'Imputed Data'!X84)/'Imputed Data'!X84</f>
        <v>3.4411562284927732E-3</v>
      </c>
      <c r="Y85" s="7">
        <f>('Imputed Data'!Y85-'Imputed Data'!Y84)/'Imputed Data'!Y84</f>
        <v>3.3355570380253501E-3</v>
      </c>
      <c r="Z85" s="7">
        <f>('Imputed Data'!Z85-'Imputed Data'!Z84)/'Imputed Data'!Z84</f>
        <v>2.5276461295418776E-2</v>
      </c>
      <c r="AA85" s="7">
        <f>('Imputed Data'!AA85-'Imputed Data'!AA84)/'Imputed Data'!AA84</f>
        <v>1.4074595355384734E-3</v>
      </c>
      <c r="AB85" s="7">
        <f>('Imputed Data'!AB85-'Imputed Data'!AB84)/'Imputed Data'!AB84</f>
        <v>1.2861736334404414E-3</v>
      </c>
      <c r="AC85" s="7">
        <f>('Imputed Data'!AC85-'Imputed Data'!AC84)/'Imputed Data'!AC84</f>
        <v>7.1275837491086458E-4</v>
      </c>
      <c r="AD85" s="7">
        <f>('Imputed Data'!AD85-'Imputed Data'!AD84)/'Imputed Data'!AD84</f>
        <v>8.4925690021230606E-3</v>
      </c>
      <c r="AE85" s="7">
        <f>('Imputed Data'!AE85-'Imputed Data'!AE84)/'Imputed Data'!AE84</f>
        <v>1.2113055181695904E-2</v>
      </c>
    </row>
    <row r="86" spans="1:31" x14ac:dyDescent="0.25">
      <c r="A86" s="1">
        <f>'Imputed Data'!A86</f>
        <v>43831</v>
      </c>
      <c r="B86" s="1" t="str">
        <f>'Imputed Data'!B86</f>
        <v>Rural+Urban</v>
      </c>
      <c r="C86" s="2">
        <f>'Imputed Data'!C86</f>
        <v>2020</v>
      </c>
      <c r="D86" s="1" t="str">
        <f>'Imputed Data'!D86</f>
        <v>January</v>
      </c>
      <c r="E86" s="7">
        <f>('Imputed Data'!E86-'Imputed Data'!E85)/'Imputed Data'!E85</f>
        <v>5.5749128919861416E-3</v>
      </c>
      <c r="F86" s="7">
        <f>('Imputed Data'!F86-'Imputed Data'!F85)/'Imputed Data'!F85</f>
        <v>1.454545454545458E-2</v>
      </c>
      <c r="G86" s="7">
        <f>('Imputed Data'!G86-'Imputed Data'!G85)/'Imputed Data'!G85</f>
        <v>2.5148908007941836E-2</v>
      </c>
      <c r="H86" s="7">
        <f>('Imputed Data'!H86-'Imputed Data'!H85)/'Imputed Data'!H85</f>
        <v>1.213755900202281E-2</v>
      </c>
      <c r="I86" s="7">
        <f>('Imputed Data'!I86-'Imputed Data'!I85)/'Imputed Data'!I85</f>
        <v>3.3412887828162312E-2</v>
      </c>
      <c r="J86" s="7">
        <f>('Imputed Data'!J86-'Imputed Data'!J85)/'Imputed Data'!J85</f>
        <v>-1.7158544955387784E-2</v>
      </c>
      <c r="K86" s="7">
        <f>('Imputed Data'!K86-'Imputed Data'!K85)/'Imputed Data'!K85</f>
        <v>-9.2165898617511524E-2</v>
      </c>
      <c r="L86" s="7">
        <f>('Imputed Data'!L86-'Imputed Data'!L85)/'Imputed Data'!L85</f>
        <v>1.5184381778741823E-2</v>
      </c>
      <c r="M86" s="7">
        <f>('Imputed Data'!M86-'Imputed Data'!M85)/'Imputed Data'!M85</f>
        <v>8.7719298245609049E-4</v>
      </c>
      <c r="N86" s="7">
        <f>('Imputed Data'!N86-'Imputed Data'!N85)/'Imputed Data'!N85</f>
        <v>1.4794889038332329E-2</v>
      </c>
      <c r="O86" s="7">
        <f>('Imputed Data'!O86-'Imputed Data'!O85)/'Imputed Data'!O85</f>
        <v>2.2091310751103307E-3</v>
      </c>
      <c r="P86" s="7">
        <f>('Imputed Data'!P86-'Imputed Data'!P85)/'Imputed Data'!P85</f>
        <v>3.7974683544303436E-3</v>
      </c>
      <c r="Q86" s="7">
        <f>('Imputed Data'!Q86-'Imputed Data'!Q85)/'Imputed Data'!Q85</f>
        <v>-9.6774193548387101E-3</v>
      </c>
      <c r="R86" s="7">
        <f>('Imputed Data'!R86-'Imputed Data'!R85)/'Imputed Data'!R85</f>
        <v>4.1543026706230782E-3</v>
      </c>
      <c r="S86" s="7">
        <f>('Imputed Data'!S86-'Imputed Data'!S85)/'Imputed Data'!S85</f>
        <v>1.3306719893545484E-3</v>
      </c>
      <c r="T86" s="7">
        <f>('Imputed Data'!T86-'Imputed Data'!T85)/'Imputed Data'!T85</f>
        <v>1.4154281670204431E-3</v>
      </c>
      <c r="U86" s="7">
        <f>('Imputed Data'!U86-'Imputed Data'!U85)/'Imputed Data'!U85</f>
        <v>1.3422818791945545E-3</v>
      </c>
      <c r="V86" s="7">
        <f>('Imputed Data'!V86-'Imputed Data'!V85)/'Imputed Data'!V85</f>
        <v>7.1989528795811143E-3</v>
      </c>
      <c r="W86" s="7">
        <f>('Imputed Data'!W86-'Imputed Data'!W85)/'Imputed Data'!W85</f>
        <v>6.2630480167015015E-3</v>
      </c>
      <c r="X86" s="7">
        <f>('Imputed Data'!X86-'Imputed Data'!X85)/'Imputed Data'!X85</f>
        <v>2.7434842249655501E-3</v>
      </c>
      <c r="Y86" s="7">
        <f>('Imputed Data'!Y86-'Imputed Data'!Y85)/'Imputed Data'!Y85</f>
        <v>5.319148936170099E-3</v>
      </c>
      <c r="Z86" s="7">
        <f>('Imputed Data'!Z86-'Imputed Data'!Z85)/'Imputed Data'!Z85</f>
        <v>8.4745762711863955E-3</v>
      </c>
      <c r="AA86" s="7">
        <f>('Imputed Data'!AA86-'Imputed Data'!AA85)/'Imputed Data'!AA85</f>
        <v>3.5137034434293743E-3</v>
      </c>
      <c r="AB86" s="7">
        <f>('Imputed Data'!AB86-'Imputed Data'!AB85)/'Imputed Data'!AB85</f>
        <v>2.5690430314708138E-3</v>
      </c>
      <c r="AC86" s="7">
        <f>('Imputed Data'!AC86-'Imputed Data'!AC85)/'Imputed Data'!AC85</f>
        <v>1.3532763532763573E-2</v>
      </c>
      <c r="AD86" s="7">
        <f>('Imputed Data'!AD86-'Imputed Data'!AD85)/'Imputed Data'!AD85</f>
        <v>6.3157894736842503E-3</v>
      </c>
      <c r="AE86" s="7">
        <f>('Imputed Data'!AE86-'Imputed Data'!AE85)/'Imputed Data'!AE85</f>
        <v>-1.3297872340426666E-3</v>
      </c>
    </row>
    <row r="87" spans="1:31" x14ac:dyDescent="0.25">
      <c r="A87" s="1">
        <f>'Imputed Data'!A87</f>
        <v>43862</v>
      </c>
      <c r="B87" s="1" t="str">
        <f>'Imputed Data'!B87</f>
        <v>Rural+Urban</v>
      </c>
      <c r="C87" s="2">
        <f>'Imputed Data'!C87</f>
        <v>2020</v>
      </c>
      <c r="D87" s="1" t="str">
        <f>'Imputed Data'!D87</f>
        <v>February</v>
      </c>
      <c r="E87" s="7">
        <f>('Imputed Data'!E87-'Imputed Data'!E86)/'Imputed Data'!E86</f>
        <v>3.4650034650034649E-3</v>
      </c>
      <c r="F87" s="7">
        <f>('Imputed Data'!F87-'Imputed Data'!F86)/'Imputed Data'!F86</f>
        <v>5.9737156511346663E-4</v>
      </c>
      <c r="G87" s="7">
        <f>('Imputed Data'!G87-'Imputed Data'!G86)/'Imputed Data'!G86</f>
        <v>-2.0012911555842443E-2</v>
      </c>
      <c r="H87" s="7">
        <f>('Imputed Data'!H87-'Imputed Data'!H86)/'Imputed Data'!H86</f>
        <v>4.6635576282479489E-3</v>
      </c>
      <c r="I87" s="7">
        <f>('Imputed Data'!I87-'Imputed Data'!I86)/'Imputed Data'!I86</f>
        <v>1.1547344110854504E-2</v>
      </c>
      <c r="J87" s="7">
        <f>('Imputed Data'!J87-'Imputed Data'!J86)/'Imputed Data'!J86</f>
        <v>-9.7765363128490042E-3</v>
      </c>
      <c r="K87" s="7">
        <f>('Imputed Data'!K87-'Imputed Data'!K86)/'Imputed Data'!K86</f>
        <v>-0.13350253807106605</v>
      </c>
      <c r="L87" s="7">
        <f>('Imputed Data'!L87-'Imputed Data'!L86)/'Imputed Data'!L86</f>
        <v>4.9857549857549041E-3</v>
      </c>
      <c r="M87" s="7">
        <f>('Imputed Data'!M87-'Imputed Data'!M86)/'Imputed Data'!M86</f>
        <v>-4.3821209465381246E-3</v>
      </c>
      <c r="N87" s="7">
        <f>('Imputed Data'!N87-'Imputed Data'!N86)/'Imputed Data'!N86</f>
        <v>7.2895957587806115E-3</v>
      </c>
      <c r="O87" s="7">
        <f>('Imputed Data'!O87-'Imputed Data'!O86)/'Imputed Data'!O86</f>
        <v>2.9390154298310485E-3</v>
      </c>
      <c r="P87" s="7">
        <f>('Imputed Data'!P87-'Imputed Data'!P86)/'Imputed Data'!P86</f>
        <v>3.1525851197982345E-3</v>
      </c>
      <c r="Q87" s="7">
        <f>('Imputed Data'!Q87-'Imputed Data'!Q86)/'Imputed Data'!Q86</f>
        <v>-1.9543973941368076E-2</v>
      </c>
      <c r="R87" s="7">
        <f>('Imputed Data'!R87-'Imputed Data'!R86)/'Imputed Data'!R86</f>
        <v>5.3191489361702465E-3</v>
      </c>
      <c r="S87" s="7">
        <f>('Imputed Data'!S87-'Imputed Data'!S86)/'Imputed Data'!S86</f>
        <v>1.9933554817276504E-3</v>
      </c>
      <c r="T87" s="7">
        <f>('Imputed Data'!T87-'Imputed Data'!T86)/'Imputed Data'!T86</f>
        <v>1.4134275618373755E-3</v>
      </c>
      <c r="U87" s="7">
        <f>('Imputed Data'!U87-'Imputed Data'!U86)/'Imputed Data'!U86</f>
        <v>2.0107238605898887E-3</v>
      </c>
      <c r="V87" s="7">
        <f>('Imputed Data'!V87-'Imputed Data'!V86)/'Imputed Data'!V86</f>
        <v>5.847953216374306E-3</v>
      </c>
      <c r="W87" s="7">
        <f>('Imputed Data'!W87-'Imputed Data'!W86)/'Imputed Data'!W86</f>
        <v>1.7980636237897609E-2</v>
      </c>
      <c r="X87" s="7">
        <f>('Imputed Data'!X87-'Imputed Data'!X86)/'Imputed Data'!X86</f>
        <v>1.3679890560876679E-3</v>
      </c>
      <c r="Y87" s="7">
        <f>('Imputed Data'!Y87-'Imputed Data'!Y86)/'Imputed Data'!Y86</f>
        <v>3.3068783068783071E-3</v>
      </c>
      <c r="Z87" s="7">
        <f>('Imputed Data'!Z87-'Imputed Data'!Z86)/'Imputed Data'!Z86</f>
        <v>-4.583651642475128E-3</v>
      </c>
      <c r="AA87" s="7">
        <f>('Imputed Data'!AA87-'Imputed Data'!AA86)/'Imputed Data'!AA86</f>
        <v>2.8011204481791121E-3</v>
      </c>
      <c r="AB87" s="7">
        <f>('Imputed Data'!AB87-'Imputed Data'!AB86)/'Imputed Data'!AB86</f>
        <v>6.4061499039073878E-4</v>
      </c>
      <c r="AC87" s="7">
        <f>('Imputed Data'!AC87-'Imputed Data'!AC86)/'Imputed Data'!AC86</f>
        <v>7.7301475755445831E-3</v>
      </c>
      <c r="AD87" s="7">
        <f>('Imputed Data'!AD87-'Imputed Data'!AD86)/'Imputed Data'!AD86</f>
        <v>1.3947001394699345E-3</v>
      </c>
      <c r="AE87" s="7">
        <f>('Imputed Data'!AE87-'Imputed Data'!AE86)/'Imputed Data'!AE86</f>
        <v>-7.3235685752329853E-3</v>
      </c>
    </row>
    <row r="88" spans="1:31" x14ac:dyDescent="0.25">
      <c r="A88" s="1">
        <f>'Imputed Data'!A88</f>
        <v>43891</v>
      </c>
      <c r="B88" s="1" t="str">
        <f>'Imputed Data'!B88</f>
        <v>Rural+Urban</v>
      </c>
      <c r="C88" s="2">
        <f>'Imputed Data'!C88</f>
        <v>2020</v>
      </c>
      <c r="D88" s="1" t="str">
        <f>'Imputed Data'!D88</f>
        <v>March</v>
      </c>
      <c r="E88" s="7">
        <f>('Imputed Data'!E88-'Imputed Data'!E87)/'Imputed Data'!E87</f>
        <v>2.0718232044197715E-3</v>
      </c>
      <c r="F88" s="7">
        <f>('Imputed Data'!F88-'Imputed Data'!F87)/'Imputed Data'!F87</f>
        <v>-2.9850746268656717E-3</v>
      </c>
      <c r="G88" s="7">
        <f>('Imputed Data'!G88-'Imputed Data'!G87)/'Imputed Data'!G87</f>
        <v>-2.4374176548089703E-2</v>
      </c>
      <c r="H88" s="7">
        <f>('Imputed Data'!H88-'Imputed Data'!H87)/'Imputed Data'!H87</f>
        <v>4.6419098143235318E-3</v>
      </c>
      <c r="I88" s="7">
        <f>('Imputed Data'!I88-'Imputed Data'!I87)/'Imputed Data'!I87</f>
        <v>-1.52207001522083E-3</v>
      </c>
      <c r="J88" s="7">
        <f>('Imputed Data'!J88-'Imputed Data'!J87)/'Imputed Data'!J87</f>
        <v>4.9365303244004836E-3</v>
      </c>
      <c r="K88" s="7">
        <f>('Imputed Data'!K88-'Imputed Data'!K87)/'Imputed Data'!K87</f>
        <v>-7.8500292911540592E-2</v>
      </c>
      <c r="L88" s="7">
        <f>('Imputed Data'!L88-'Imputed Data'!L87)/'Imputed Data'!L87</f>
        <v>0</v>
      </c>
      <c r="M88" s="7">
        <f>('Imputed Data'!M88-'Imputed Data'!M87)/'Imputed Data'!M87</f>
        <v>-3.5211267605633053E-3</v>
      </c>
      <c r="N88" s="7">
        <f>('Imputed Data'!N88-'Imputed Data'!N87)/'Imputed Data'!N87</f>
        <v>7.8947368421051888E-3</v>
      </c>
      <c r="O88" s="7">
        <f>('Imputed Data'!O88-'Imputed Data'!O87)/'Imputed Data'!O87</f>
        <v>1.4652014652013819E-3</v>
      </c>
      <c r="P88" s="7">
        <f>('Imputed Data'!P88-'Imputed Data'!P87)/'Imputed Data'!P87</f>
        <v>3.1426775612822125E-3</v>
      </c>
      <c r="Q88" s="7">
        <f>('Imputed Data'!Q88-'Imputed Data'!Q87)/'Imputed Data'!Q87</f>
        <v>-1.0631229235880361E-2</v>
      </c>
      <c r="R88" s="7">
        <f>('Imputed Data'!R88-'Imputed Data'!R87)/'Imputed Data'!R87</f>
        <v>6.4667842445619893E-3</v>
      </c>
      <c r="S88" s="7">
        <f>('Imputed Data'!S88-'Imputed Data'!S87)/'Imputed Data'!S87</f>
        <v>2.6525198938990532E-3</v>
      </c>
      <c r="T88" s="7">
        <f>('Imputed Data'!T88-'Imputed Data'!T87)/'Imputed Data'!T87</f>
        <v>1.411432604093275E-3</v>
      </c>
      <c r="U88" s="7">
        <f>('Imputed Data'!U88-'Imputed Data'!U87)/'Imputed Data'!U87</f>
        <v>2.0066889632107785E-3</v>
      </c>
      <c r="V88" s="7">
        <f>('Imputed Data'!V88-'Imputed Data'!V87)/'Imputed Data'!V87</f>
        <v>-1.9379844961241043E-3</v>
      </c>
      <c r="W88" s="7">
        <f>('Imputed Data'!W88-'Imputed Data'!W87)/'Imputed Data'!W87</f>
        <v>1.1548913043478378E-2</v>
      </c>
      <c r="X88" s="7">
        <f>('Imputed Data'!X88-'Imputed Data'!X87)/'Imputed Data'!X87</f>
        <v>0</v>
      </c>
      <c r="Y88" s="7">
        <f>('Imputed Data'!Y88-'Imputed Data'!Y87)/'Imputed Data'!Y87</f>
        <v>3.9551746868821541E-3</v>
      </c>
      <c r="Z88" s="7">
        <f>('Imputed Data'!Z88-'Imputed Data'!Z87)/'Imputed Data'!Z87</f>
        <v>-3.0698388334612866E-3</v>
      </c>
      <c r="AA88" s="7">
        <f>('Imputed Data'!AA88-'Imputed Data'!AA87)/'Imputed Data'!AA87</f>
        <v>3.4916201117318438E-3</v>
      </c>
      <c r="AB88" s="7">
        <f>('Imputed Data'!AB88-'Imputed Data'!AB87)/'Imputed Data'!AB87</f>
        <v>-6.4020486555694189E-4</v>
      </c>
      <c r="AC88" s="7">
        <f>('Imputed Data'!AC88-'Imputed Data'!AC87)/'Imputed Data'!AC87</f>
        <v>1.2552301255230006E-2</v>
      </c>
      <c r="AD88" s="7">
        <f>('Imputed Data'!AD88-'Imputed Data'!AD87)/'Imputed Data'!AD87</f>
        <v>1.3927576601672498E-3</v>
      </c>
      <c r="AE88" s="7">
        <f>('Imputed Data'!AE88-'Imputed Data'!AE87)/'Imputed Data'!AE87</f>
        <v>-3.3534540576794099E-3</v>
      </c>
    </row>
    <row r="89" spans="1:31" x14ac:dyDescent="0.25">
      <c r="A89" s="1">
        <f>'Imputed Data'!A89</f>
        <v>43922</v>
      </c>
      <c r="B89" s="1" t="str">
        <f>'Imputed Data'!B89</f>
        <v>Rural+Urban</v>
      </c>
      <c r="C89" s="2">
        <f>'Imputed Data'!C89</f>
        <v>2020</v>
      </c>
      <c r="D89" s="1" t="str">
        <f>'Imputed Data'!D89</f>
        <v>April</v>
      </c>
      <c r="E89" s="7">
        <f>('Imputed Data'!E89-'Imputed Data'!E88)/'Imputed Data'!E88</f>
        <v>2.4810475534114366E-2</v>
      </c>
      <c r="F89" s="7">
        <f>('Imputed Data'!F89-'Imputed Data'!F88)/'Imputed Data'!F88</f>
        <v>5.1297405189620733E-2</v>
      </c>
      <c r="G89" s="7">
        <f>('Imputed Data'!G89-'Imputed Data'!G88)/'Imputed Data'!G88</f>
        <v>4.7265361242404937E-3</v>
      </c>
      <c r="H89" s="7">
        <f>('Imputed Data'!H89-'Imputed Data'!H88)/'Imputed Data'!H88</f>
        <v>2.7062706270627027E-2</v>
      </c>
      <c r="I89" s="7">
        <f>('Imputed Data'!I89-'Imputed Data'!I88)/'Imputed Data'!I88</f>
        <v>2.9725609756097608E-2</v>
      </c>
      <c r="J89" s="7">
        <f>('Imputed Data'!J89-'Imputed Data'!J88)/'Imputed Data'!J88</f>
        <v>5.1929824561403548E-2</v>
      </c>
      <c r="K89" s="7">
        <f>('Imputed Data'!K89-'Imputed Data'!K88)/'Imputed Data'!K88</f>
        <v>7.1837253655435362E-2</v>
      </c>
      <c r="L89" s="7">
        <f>('Imputed Data'!L89-'Imputed Data'!L88)/'Imputed Data'!L88</f>
        <v>6.5910701630049695E-2</v>
      </c>
      <c r="M89" s="7">
        <f>('Imputed Data'!M89-'Imputed Data'!M88)/'Imputed Data'!M88</f>
        <v>6.2720848056537049E-2</v>
      </c>
      <c r="N89" s="7">
        <f>('Imputed Data'!N89-'Imputed Data'!N88)/'Imputed Data'!N88</f>
        <v>2.545691906005226E-2</v>
      </c>
      <c r="O89" s="7">
        <f>('Imputed Data'!O89-'Imputed Data'!O88)/'Imputed Data'!O88</f>
        <v>7.3152889539153431E-4</v>
      </c>
      <c r="P89" s="7">
        <f>('Imputed Data'!P89-'Imputed Data'!P88)/'Imputed Data'!P88</f>
        <v>4.5948203842941637E-3</v>
      </c>
      <c r="Q89" s="7">
        <f>('Imputed Data'!Q89-'Imputed Data'!Q88)/'Imputed Data'!Q88</f>
        <v>1.6789791806581598E-2</v>
      </c>
      <c r="R89" s="7">
        <f>('Imputed Data'!R89-'Imputed Data'!R88)/'Imputed Data'!R88</f>
        <v>2.3948598130841089E-2</v>
      </c>
      <c r="S89" s="7">
        <f>('Imputed Data'!S89-'Imputed Data'!S88)/'Imputed Data'!S88</f>
        <v>2.8659611992945581E-3</v>
      </c>
      <c r="T89" s="7">
        <f>('Imputed Data'!T89-'Imputed Data'!T88)/'Imputed Data'!T88</f>
        <v>5.872680291285009E-3</v>
      </c>
      <c r="U89" s="7">
        <f>('Imputed Data'!U89-'Imputed Data'!U88)/'Imputed Data'!U88</f>
        <v>3.5603026257231734E-3</v>
      </c>
      <c r="V89" s="7">
        <f>('Imputed Data'!V89-'Imputed Data'!V88)/'Imputed Data'!V88</f>
        <v>7.1197411003235877E-3</v>
      </c>
      <c r="W89" s="7">
        <f>('Imputed Data'!W89-'Imputed Data'!W88)/'Imputed Data'!W88</f>
        <v>-3.2236400268636743E-2</v>
      </c>
      <c r="X89" s="7">
        <f>('Imputed Data'!X89-'Imputed Data'!X88)/'Imputed Data'!X88</f>
        <v>0</v>
      </c>
      <c r="Y89" s="7">
        <f>('Imputed Data'!Y89-'Imputed Data'!Y88)/'Imputed Data'!Y88</f>
        <v>-1.0505581089954186E-2</v>
      </c>
      <c r="Z89" s="7">
        <f>('Imputed Data'!Z89-'Imputed Data'!Z88)/'Imputed Data'!Z88</f>
        <v>1.3086989992301682E-2</v>
      </c>
      <c r="AA89" s="7">
        <f>('Imputed Data'!AA89-'Imputed Data'!AA88)/'Imputed Data'!AA88</f>
        <v>1.0670378102528404E-2</v>
      </c>
      <c r="AB89" s="7">
        <f>('Imputed Data'!AB89-'Imputed Data'!AB88)/'Imputed Data'!AB88</f>
        <v>6.4061499039073878E-4</v>
      </c>
      <c r="AC89" s="7">
        <f>('Imputed Data'!AC89-'Imputed Data'!AC88)/'Imputed Data'!AC88</f>
        <v>1.4692378328741915E-2</v>
      </c>
      <c r="AD89" s="7">
        <f>('Imputed Data'!AD89-'Imputed Data'!AD88)/'Imputed Data'!AD88</f>
        <v>7.4177097821047479E-3</v>
      </c>
      <c r="AE89" s="7">
        <f>('Imputed Data'!AE89-'Imputed Data'!AE88)/'Imputed Data'!AE88</f>
        <v>7.1781067743382429E-3</v>
      </c>
    </row>
    <row r="90" spans="1:31" x14ac:dyDescent="0.25">
      <c r="A90" s="1">
        <f>'Imputed Data'!A90</f>
        <v>43952</v>
      </c>
      <c r="B90" s="1" t="str">
        <f>'Imputed Data'!B90</f>
        <v>Rural+Urban</v>
      </c>
      <c r="C90" s="2">
        <f>'Imputed Data'!C90</f>
        <v>2020</v>
      </c>
      <c r="D90" s="1" t="str">
        <f>'Imputed Data'!D90</f>
        <v>May</v>
      </c>
      <c r="E90" s="7">
        <f>('Imputed Data'!E90-'Imputed Data'!E89)/'Imputed Data'!E89</f>
        <v>-4.0349697377269293E-3</v>
      </c>
      <c r="F90" s="7">
        <f>('Imputed Data'!F90-'Imputed Data'!F89)/'Imputed Data'!F89</f>
        <v>4.8794380102525139E-2</v>
      </c>
      <c r="G90" s="7">
        <f>('Imputed Data'!G90-'Imputed Data'!G89)/'Imputed Data'!G89</f>
        <v>1.0080645161290322E-2</v>
      </c>
      <c r="H90" s="7">
        <f>('Imputed Data'!H90-'Imputed Data'!H89)/'Imputed Data'!H89</f>
        <v>-1.8637532133675947E-2</v>
      </c>
      <c r="I90" s="7">
        <f>('Imputed Data'!I90-'Imputed Data'!I89)/'Imputed Data'!I89</f>
        <v>-3.7009622501850484E-3</v>
      </c>
      <c r="J90" s="7">
        <f>('Imputed Data'!J90-'Imputed Data'!J89)/'Imputed Data'!J89</f>
        <v>-2.8463420057816411E-2</v>
      </c>
      <c r="K90" s="7">
        <f>('Imputed Data'!K90-'Imputed Data'!K89)/'Imputed Data'!K89</f>
        <v>-7.018584420719641E-2</v>
      </c>
      <c r="L90" s="7">
        <f>('Imputed Data'!L90-'Imputed Data'!L89)/'Imputed Data'!L89</f>
        <v>-1.8395390070922075E-2</v>
      </c>
      <c r="M90" s="7">
        <f>('Imputed Data'!M90-'Imputed Data'!M89)/'Imputed Data'!M89</f>
        <v>-5.3477417567193042E-2</v>
      </c>
      <c r="N90" s="7">
        <f>('Imputed Data'!N90-'Imputed Data'!N89)/'Imputed Data'!N89</f>
        <v>1.9096117122852411E-3</v>
      </c>
      <c r="O90" s="7">
        <f>('Imputed Data'!O90-'Imputed Data'!O89)/'Imputed Data'!O89</f>
        <v>1.2426900584795238E-2</v>
      </c>
      <c r="P90" s="7">
        <f>('Imputed Data'!P90-'Imputed Data'!P89)/'Imputed Data'!P89</f>
        <v>4.5738045738044908E-3</v>
      </c>
      <c r="Q90" s="7">
        <f>('Imputed Data'!Q90-'Imputed Data'!Q89)/'Imputed Data'!Q89</f>
        <v>5.9445178335535377E-3</v>
      </c>
      <c r="R90" s="7">
        <f>('Imputed Data'!R90-'Imputed Data'!R89)/'Imputed Data'!R89</f>
        <v>2.3388476896748563E-2</v>
      </c>
      <c r="S90" s="7">
        <f>('Imputed Data'!S90-'Imputed Data'!S89)/'Imputed Data'!S89</f>
        <v>2.8577709386678643E-3</v>
      </c>
      <c r="T90" s="7">
        <f>('Imputed Data'!T90-'Imputed Data'!T89)/'Imputed Data'!T89</f>
        <v>5.8383932741708144E-3</v>
      </c>
      <c r="U90" s="7">
        <f>('Imputed Data'!U90-'Imputed Data'!U89)/'Imputed Data'!U89</f>
        <v>3.5476718403547542E-3</v>
      </c>
      <c r="V90" s="7">
        <f>('Imputed Data'!V90-'Imputed Data'!V89)/'Imputed Data'!V89</f>
        <v>-6.2125107112253764E-3</v>
      </c>
      <c r="W90" s="7">
        <f>('Imputed Data'!W90-'Imputed Data'!W89)/'Imputed Data'!W89</f>
        <v>9.2528336803160427E-4</v>
      </c>
      <c r="X90" s="7">
        <f>('Imputed Data'!X90-'Imputed Data'!X89)/'Imputed Data'!X89</f>
        <v>0</v>
      </c>
      <c r="Y90" s="7">
        <f>('Imputed Data'!Y90-'Imputed Data'!Y89)/'Imputed Data'!Y89</f>
        <v>1.9907100199071191E-2</v>
      </c>
      <c r="Z90" s="7">
        <f>('Imputed Data'!Z90-'Imputed Data'!Z89)/'Imputed Data'!Z89</f>
        <v>1.2917933130699218E-2</v>
      </c>
      <c r="AA90" s="7">
        <f>('Imputed Data'!AA90-'Imputed Data'!AA89)/'Imputed Data'!AA89</f>
        <v>1.055772320403966E-2</v>
      </c>
      <c r="AB90" s="7">
        <f>('Imputed Data'!AB90-'Imputed Data'!AB89)/'Imputed Data'!AB89</f>
        <v>6.4020486555712382E-4</v>
      </c>
      <c r="AC90" s="7">
        <f>('Imputed Data'!AC90-'Imputed Data'!AC89)/'Imputed Data'!AC89</f>
        <v>1.4479638009049917E-2</v>
      </c>
      <c r="AD90" s="7">
        <f>('Imputed Data'!AD90-'Imputed Data'!AD89)/'Imputed Data'!AD89</f>
        <v>7.3630924988494903E-3</v>
      </c>
      <c r="AE90" s="7">
        <f>('Imputed Data'!AE90-'Imputed Data'!AE89)/'Imputed Data'!AE89</f>
        <v>7.1269487750558443E-3</v>
      </c>
    </row>
    <row r="91" spans="1:31" x14ac:dyDescent="0.25">
      <c r="A91" s="1">
        <f>'Imputed Data'!A91</f>
        <v>43983</v>
      </c>
      <c r="B91" s="1" t="str">
        <f>'Imputed Data'!B91</f>
        <v>Rural+Urban</v>
      </c>
      <c r="C91" s="2">
        <f>'Imputed Data'!C91</f>
        <v>2020</v>
      </c>
      <c r="D91" s="1" t="str">
        <f>'Imputed Data'!D91</f>
        <v>June</v>
      </c>
      <c r="E91" s="7">
        <f>('Imputed Data'!E91-'Imputed Data'!E90)/'Imputed Data'!E90</f>
        <v>1.012829169480081E-2</v>
      </c>
      <c r="F91" s="7">
        <f>('Imputed Data'!F91-'Imputed Data'!F90)/'Imputed Data'!F90</f>
        <v>4.6524257784214318E-2</v>
      </c>
      <c r="G91" s="7">
        <f>('Imputed Data'!G91-'Imputed Data'!G90)/'Imputed Data'!G90</f>
        <v>7.3186959414503943E-3</v>
      </c>
      <c r="H91" s="7">
        <f>('Imputed Data'!H91-'Imputed Data'!H90)/'Imputed Data'!H90</f>
        <v>3.9292730844793337E-3</v>
      </c>
      <c r="I91" s="7">
        <f>('Imputed Data'!I91-'Imputed Data'!I90)/'Imputed Data'!I90</f>
        <v>1.2630014858841137E-2</v>
      </c>
      <c r="J91" s="7">
        <f>('Imputed Data'!J91-'Imputed Data'!J90)/'Imputed Data'!J90</f>
        <v>1.0757610437170951E-2</v>
      </c>
      <c r="K91" s="7">
        <f>('Imputed Data'!K91-'Imputed Data'!K90)/'Imputed Data'!K90</f>
        <v>-1.7010418881565803E-3</v>
      </c>
      <c r="L91" s="7">
        <f>('Imputed Data'!L91-'Imputed Data'!L90)/'Imputed Data'!L90</f>
        <v>2.2126890946037571E-2</v>
      </c>
      <c r="M91" s="7">
        <f>('Imputed Data'!M91-'Imputed Data'!M90)/'Imputed Data'!M90</f>
        <v>2.9274004683840331E-3</v>
      </c>
      <c r="N91" s="7">
        <f>('Imputed Data'!N91-'Imputed Data'!N90)/'Imputed Data'!N90</f>
        <v>1.3341804320203267E-2</v>
      </c>
      <c r="O91" s="7">
        <f>('Imputed Data'!O91-'Imputed Data'!O90)/'Imputed Data'!O90</f>
        <v>6.4981949458484166E-3</v>
      </c>
      <c r="P91" s="7">
        <f>('Imputed Data'!P91-'Imputed Data'!P90)/'Imputed Data'!P90</f>
        <v>4.5529801324504255E-3</v>
      </c>
      <c r="Q91" s="7">
        <f>('Imputed Data'!Q91-'Imputed Data'!Q90)/'Imputed Data'!Q90</f>
        <v>1.116217990807609E-2</v>
      </c>
      <c r="R91" s="7">
        <f>('Imputed Data'!R91-'Imputed Data'!R90)/'Imputed Data'!R90</f>
        <v>2.2853957636566301E-2</v>
      </c>
      <c r="S91" s="7">
        <f>('Imputed Data'!S91-'Imputed Data'!S90)/'Imputed Data'!S90</f>
        <v>2.8496273564226466E-3</v>
      </c>
      <c r="T91" s="7">
        <f>('Imputed Data'!T91-'Imputed Data'!T90)/'Imputed Data'!T90</f>
        <v>5.8045042953332451E-3</v>
      </c>
      <c r="U91" s="7">
        <f>('Imputed Data'!U91-'Imputed Data'!U90)/'Imputed Data'!U90</f>
        <v>3.5351303579319359E-3</v>
      </c>
      <c r="V91" s="7">
        <f>('Imputed Data'!V91-'Imputed Data'!V90)/'Imputed Data'!V90</f>
        <v>4.3112739814612773E-4</v>
      </c>
      <c r="W91" s="7">
        <f>('Imputed Data'!W91-'Imputed Data'!W90)/'Imputed Data'!W90</f>
        <v>-1.6177490177952458E-2</v>
      </c>
      <c r="X91" s="7">
        <f>('Imputed Data'!X91-'Imputed Data'!X90)/'Imputed Data'!X90</f>
        <v>0</v>
      </c>
      <c r="Y91" s="7">
        <f>('Imputed Data'!Y91-'Imputed Data'!Y90)/'Imputed Data'!Y90</f>
        <v>4.5543266102796914E-3</v>
      </c>
      <c r="Z91" s="7">
        <f>('Imputed Data'!Z91-'Imputed Data'!Z90)/'Imputed Data'!Z90</f>
        <v>1.2753188297074182E-2</v>
      </c>
      <c r="AA91" s="7">
        <f>('Imputed Data'!AA91-'Imputed Data'!AA90)/'Imputed Data'!AA90</f>
        <v>1.044742221212808E-2</v>
      </c>
      <c r="AB91" s="7">
        <f>('Imputed Data'!AB91-'Imputed Data'!AB90)/'Imputed Data'!AB90</f>
        <v>6.3979526551499874E-4</v>
      </c>
      <c r="AC91" s="7">
        <f>('Imputed Data'!AC91-'Imputed Data'!AC90)/'Imputed Data'!AC90</f>
        <v>1.4272970561998164E-2</v>
      </c>
      <c r="AD91" s="7">
        <f>('Imputed Data'!AD91-'Imputed Data'!AD90)/'Imputed Data'!AD90</f>
        <v>7.3092736409319063E-3</v>
      </c>
      <c r="AE91" s="7">
        <f>('Imputed Data'!AE91-'Imputed Data'!AE90)/'Imputed Data'!AE90</f>
        <v>7.0765148164528714E-3</v>
      </c>
    </row>
    <row r="92" spans="1:31" x14ac:dyDescent="0.25">
      <c r="A92" s="1">
        <f>'Imputed Data'!A92</f>
        <v>44013</v>
      </c>
      <c r="B92" s="1" t="str">
        <f>'Imputed Data'!B92</f>
        <v>Rural+Urban</v>
      </c>
      <c r="C92" s="2">
        <f>'Imputed Data'!C92</f>
        <v>2020</v>
      </c>
      <c r="D92" s="1" t="str">
        <f>'Imputed Data'!D92</f>
        <v>July</v>
      </c>
      <c r="E92" s="7">
        <f>('Imputed Data'!E92-'Imputed Data'!E91)/'Imputed Data'!E91</f>
        <v>0</v>
      </c>
      <c r="F92" s="7">
        <f>('Imputed Data'!F92-'Imputed Data'!F91)/'Imputed Data'!F91</f>
        <v>0</v>
      </c>
      <c r="G92" s="7">
        <f>('Imputed Data'!G92-'Imputed Data'!G91)/'Imputed Data'!G91</f>
        <v>0</v>
      </c>
      <c r="H92" s="7">
        <f>('Imputed Data'!H92-'Imputed Data'!H91)/'Imputed Data'!H91</f>
        <v>0</v>
      </c>
      <c r="I92" s="7">
        <f>('Imputed Data'!I92-'Imputed Data'!I91)/'Imputed Data'!I91</f>
        <v>0</v>
      </c>
      <c r="J92" s="7">
        <f>('Imputed Data'!J92-'Imputed Data'!J91)/'Imputed Data'!J91</f>
        <v>0</v>
      </c>
      <c r="K92" s="7">
        <f>('Imputed Data'!K92-'Imputed Data'!K91)/'Imputed Data'!K91</f>
        <v>0</v>
      </c>
      <c r="L92" s="7">
        <f>('Imputed Data'!L92-'Imputed Data'!L91)/'Imputed Data'!L91</f>
        <v>0</v>
      </c>
      <c r="M92" s="7">
        <f>('Imputed Data'!M92-'Imputed Data'!M91)/'Imputed Data'!M91</f>
        <v>0</v>
      </c>
      <c r="N92" s="7">
        <f>('Imputed Data'!N92-'Imputed Data'!N91)/'Imputed Data'!N91</f>
        <v>0</v>
      </c>
      <c r="O92" s="7">
        <f>('Imputed Data'!O92-'Imputed Data'!O91)/'Imputed Data'!O91</f>
        <v>0</v>
      </c>
      <c r="P92" s="7">
        <f>('Imputed Data'!P92-'Imputed Data'!P91)/'Imputed Data'!P91</f>
        <v>0</v>
      </c>
      <c r="Q92" s="7">
        <f>('Imputed Data'!Q92-'Imputed Data'!Q91)/'Imputed Data'!Q91</f>
        <v>0</v>
      </c>
      <c r="R92" s="7">
        <f>('Imputed Data'!R92-'Imputed Data'!R91)/'Imputed Data'!R91</f>
        <v>0</v>
      </c>
      <c r="S92" s="7">
        <f>('Imputed Data'!S92-'Imputed Data'!S91)/'Imputed Data'!S91</f>
        <v>0</v>
      </c>
      <c r="T92" s="7">
        <f>('Imputed Data'!T92-'Imputed Data'!T91)/'Imputed Data'!T91</f>
        <v>0</v>
      </c>
      <c r="U92" s="7">
        <f>('Imputed Data'!U92-'Imputed Data'!U91)/'Imputed Data'!U91</f>
        <v>0</v>
      </c>
      <c r="V92" s="7">
        <f>('Imputed Data'!V92-'Imputed Data'!V91)/'Imputed Data'!V91</f>
        <v>0</v>
      </c>
      <c r="W92" s="7">
        <f>('Imputed Data'!W92-'Imputed Data'!W91)/'Imputed Data'!W91</f>
        <v>0</v>
      </c>
      <c r="X92" s="7">
        <f>('Imputed Data'!X92-'Imputed Data'!X91)/'Imputed Data'!X91</f>
        <v>0</v>
      </c>
      <c r="Y92" s="7">
        <f>('Imputed Data'!Y92-'Imputed Data'!Y91)/'Imputed Data'!Y91</f>
        <v>0</v>
      </c>
      <c r="Z92" s="7">
        <f>('Imputed Data'!Z92-'Imputed Data'!Z91)/'Imputed Data'!Z91</f>
        <v>0</v>
      </c>
      <c r="AA92" s="7">
        <f>('Imputed Data'!AA92-'Imputed Data'!AA91)/'Imputed Data'!AA91</f>
        <v>0</v>
      </c>
      <c r="AB92" s="7">
        <f>('Imputed Data'!AB92-'Imputed Data'!AB91)/'Imputed Data'!AB91</f>
        <v>0</v>
      </c>
      <c r="AC92" s="7">
        <f>('Imputed Data'!AC92-'Imputed Data'!AC91)/'Imputed Data'!AC91</f>
        <v>0</v>
      </c>
      <c r="AD92" s="7">
        <f>('Imputed Data'!AD92-'Imputed Data'!AD91)/'Imputed Data'!AD91</f>
        <v>0</v>
      </c>
      <c r="AE92" s="7">
        <f>('Imputed Data'!AE92-'Imputed Data'!AE91)/'Imputed Data'!AE91</f>
        <v>0</v>
      </c>
    </row>
    <row r="93" spans="1:31" x14ac:dyDescent="0.25">
      <c r="A93" s="1">
        <f>'Imputed Data'!A93</f>
        <v>44044</v>
      </c>
      <c r="B93" s="1" t="str">
        <f>'Imputed Data'!B93</f>
        <v>Rural+Urban</v>
      </c>
      <c r="C93" s="2">
        <f>'Imputed Data'!C93</f>
        <v>2020</v>
      </c>
      <c r="D93" s="1" t="str">
        <f>'Imputed Data'!D93</f>
        <v>August</v>
      </c>
      <c r="E93" s="7">
        <f>('Imputed Data'!E93-'Imputed Data'!E92)/'Imputed Data'!E92</f>
        <v>-4.6791443850266621E-3</v>
      </c>
      <c r="F93" s="7">
        <f>('Imputed Data'!F93-'Imputed Data'!F92)/'Imputed Data'!F92</f>
        <v>-9.3409444732744321E-3</v>
      </c>
      <c r="G93" s="7">
        <f>('Imputed Data'!G93-'Imputed Data'!G92)/'Imputed Data'!G92</f>
        <v>-3.9630118890356296E-3</v>
      </c>
      <c r="H93" s="7">
        <f>('Imputed Data'!H93-'Imputed Data'!H92)/'Imputed Data'!H92</f>
        <v>0</v>
      </c>
      <c r="I93" s="7">
        <f>('Imputed Data'!I93-'Imputed Data'!I92)/'Imputed Data'!I92</f>
        <v>8.0704328686720048E-3</v>
      </c>
      <c r="J93" s="7">
        <f>('Imputed Data'!J93-'Imputed Data'!J92)/'Imputed Data'!J92</f>
        <v>2.1739130434782726E-2</v>
      </c>
      <c r="K93" s="7">
        <f>('Imputed Data'!K93-'Imputed Data'!K92)/'Imputed Data'!K92</f>
        <v>0.13801916932907343</v>
      </c>
      <c r="L93" s="7">
        <f>('Imputed Data'!L93-'Imputed Data'!L92)/'Imputed Data'!L92</f>
        <v>-3.3134526176275677E-3</v>
      </c>
      <c r="M93" s="7">
        <f>('Imputed Data'!M93-'Imputed Data'!M92)/'Imputed Data'!M92</f>
        <v>7.8809106830121847E-3</v>
      </c>
      <c r="N93" s="7">
        <f>('Imputed Data'!N93-'Imputed Data'!N92)/'Imputed Data'!N92</f>
        <v>3.134796238244514E-3</v>
      </c>
      <c r="O93" s="7">
        <f>('Imputed Data'!O93-'Imputed Data'!O92)/'Imputed Data'!O92</f>
        <v>8.6083213773313384E-3</v>
      </c>
      <c r="P93" s="7">
        <f>('Imputed Data'!P93-'Imputed Data'!P92)/'Imputed Data'!P92</f>
        <v>3.0902348578491965E-3</v>
      </c>
      <c r="Q93" s="7">
        <f>('Imputed Data'!Q93-'Imputed Data'!Q92)/'Imputed Data'!Q92</f>
        <v>1.948051948051948E-2</v>
      </c>
      <c r="R93" s="7">
        <f>('Imputed Data'!R93-'Imputed Data'!R92)/'Imputed Data'!R92</f>
        <v>-4.9046321525885866E-3</v>
      </c>
      <c r="S93" s="7">
        <f>('Imputed Data'!S93-'Imputed Data'!S92)/'Imputed Data'!S92</f>
        <v>3.9344262295081594E-3</v>
      </c>
      <c r="T93" s="7">
        <f>('Imputed Data'!T93-'Imputed Data'!T92)/'Imputed Data'!T92</f>
        <v>-6.9252077562326868E-3</v>
      </c>
      <c r="U93" s="7">
        <f>('Imputed Data'!U93-'Imputed Data'!U92)/'Imputed Data'!U92</f>
        <v>1.9815059445177207E-3</v>
      </c>
      <c r="V93" s="7">
        <f>('Imputed Data'!V93-'Imputed Data'!V92)/'Imputed Data'!V92</f>
        <v>5.1712992889464213E-3</v>
      </c>
      <c r="W93" s="7">
        <f>('Imputed Data'!W93-'Imputed Data'!W92)/'Imputed Data'!W92</f>
        <v>7.751937984496084E-3</v>
      </c>
      <c r="X93" s="7">
        <f>('Imputed Data'!X93-'Imputed Data'!X92)/'Imputed Data'!X92</f>
        <v>1.3661202185792349E-2</v>
      </c>
      <c r="Y93" s="7">
        <f>('Imputed Data'!Y93-'Imputed Data'!Y92)/'Imputed Data'!Y92</f>
        <v>3.8860103626942636E-3</v>
      </c>
      <c r="Z93" s="7">
        <f>('Imputed Data'!Z93-'Imputed Data'!Z92)/'Imputed Data'!Z92</f>
        <v>2.5925925925925925E-2</v>
      </c>
      <c r="AA93" s="7">
        <f>('Imputed Data'!AA93-'Imputed Data'!AA92)/'Imputed Data'!AA92</f>
        <v>-1.5509103169251593E-2</v>
      </c>
      <c r="AB93" s="7">
        <f>('Imputed Data'!AB93-'Imputed Data'!AB92)/'Imputed Data'!AB92</f>
        <v>1.3427109974424516E-2</v>
      </c>
      <c r="AC93" s="7">
        <f>('Imputed Data'!AC93-'Imputed Data'!AC92)/'Imputed Data'!AC92</f>
        <v>1.7810026385224387E-2</v>
      </c>
      <c r="AD93" s="7">
        <f>('Imputed Data'!AD93-'Imputed Data'!AD92)/'Imputed Data'!AD92</f>
        <v>1.3605442176870748E-2</v>
      </c>
      <c r="AE93" s="7">
        <f>('Imputed Data'!AE93-'Imputed Data'!AE92)/'Imputed Data'!AE92</f>
        <v>1.3833992094861622E-2</v>
      </c>
    </row>
    <row r="94" spans="1:31" x14ac:dyDescent="0.25">
      <c r="A94" s="1">
        <f>'Imputed Data'!A94</f>
        <v>44075</v>
      </c>
      <c r="B94" s="1" t="str">
        <f>'Imputed Data'!B94</f>
        <v>Rural+Urban</v>
      </c>
      <c r="C94" s="2">
        <f>'Imputed Data'!C94</f>
        <v>2020</v>
      </c>
      <c r="D94" s="1" t="str">
        <f>'Imputed Data'!D94</f>
        <v>September</v>
      </c>
      <c r="E94" s="7">
        <f>('Imputed Data'!E94-'Imputed Data'!E93)/'Imputed Data'!E93</f>
        <v>-3.3579583613163196E-3</v>
      </c>
      <c r="F94" s="7">
        <f>('Imputed Data'!F94-'Imputed Data'!F93)/'Imputed Data'!F93</f>
        <v>-1.9905709795704617E-2</v>
      </c>
      <c r="G94" s="7">
        <f>('Imputed Data'!G94-'Imputed Data'!G93)/'Imputed Data'!G93</f>
        <v>1.1273209549071541E-2</v>
      </c>
      <c r="H94" s="7">
        <f>('Imputed Data'!H94-'Imputed Data'!H93)/'Imputed Data'!H93</f>
        <v>1.9569471624265029E-3</v>
      </c>
      <c r="I94" s="7">
        <f>('Imputed Data'!I94-'Imputed Data'!I93)/'Imputed Data'!I93</f>
        <v>5.8224163027655231E-3</v>
      </c>
      <c r="J94" s="7">
        <f>('Imputed Data'!J94-'Imputed Data'!J93)/'Imputed Data'!J93</f>
        <v>3.324468085106383E-3</v>
      </c>
      <c r="K94" s="7">
        <f>('Imputed Data'!K94-'Imputed Data'!K93)/'Imputed Data'!K93</f>
        <v>4.8287478944413223E-2</v>
      </c>
      <c r="L94" s="7">
        <f>('Imputed Data'!L94-'Imputed Data'!L93)/'Imputed Data'!L93</f>
        <v>-3.989361702127622E-3</v>
      </c>
      <c r="M94" s="7">
        <f>('Imputed Data'!M94-'Imputed Data'!M93)/'Imputed Data'!M93</f>
        <v>1.1294526498696885E-2</v>
      </c>
      <c r="N94" s="7">
        <f>('Imputed Data'!N94-'Imputed Data'!N93)/'Imputed Data'!N93</f>
        <v>1.8750000000000711E-3</v>
      </c>
      <c r="O94" s="7">
        <f>('Imputed Data'!O94-'Imputed Data'!O93)/'Imputed Data'!O93</f>
        <v>1.1379800853485025E-2</v>
      </c>
      <c r="P94" s="7">
        <f>('Imputed Data'!P94-'Imputed Data'!P93)/'Imputed Data'!P93</f>
        <v>3.6968576709796321E-3</v>
      </c>
      <c r="Q94" s="7">
        <f>('Imputed Data'!Q94-'Imputed Data'!Q93)/'Imputed Data'!Q93</f>
        <v>6.369426751592357E-3</v>
      </c>
      <c r="R94" s="7">
        <f>('Imputed Data'!R94-'Imputed Data'!R93)/'Imputed Data'!R93</f>
        <v>9.8576122672508846E-3</v>
      </c>
      <c r="S94" s="7">
        <f>('Imputed Data'!S94-'Imputed Data'!S93)/'Imputed Data'!S93</f>
        <v>1.959503592423327E-3</v>
      </c>
      <c r="T94" s="7">
        <f>('Imputed Data'!T94-'Imputed Data'!T93)/'Imputed Data'!T93</f>
        <v>6.2761506276151026E-3</v>
      </c>
      <c r="U94" s="7">
        <f>('Imputed Data'!U94-'Imputed Data'!U93)/'Imputed Data'!U93</f>
        <v>1.9775873434410771E-3</v>
      </c>
      <c r="V94" s="7">
        <f>('Imputed Data'!V94-'Imputed Data'!V93)/'Imputed Data'!V93</f>
        <v>5.1446945337621309E-3</v>
      </c>
      <c r="W94" s="7">
        <f>('Imputed Data'!W94-'Imputed Data'!W93)/'Imputed Data'!W93</f>
        <v>-6.9930069930065951E-4</v>
      </c>
      <c r="X94" s="7">
        <f>('Imputed Data'!X94-'Imputed Data'!X93)/'Imputed Data'!X93</f>
        <v>2.0215633423179445E-3</v>
      </c>
      <c r="Y94" s="7">
        <f>('Imputed Data'!Y94-'Imputed Data'!Y93)/'Imputed Data'!Y93</f>
        <v>3.870967741935447E-3</v>
      </c>
      <c r="Z94" s="7">
        <f>('Imputed Data'!Z94-'Imputed Data'!Z93)/'Imputed Data'!Z93</f>
        <v>7.9422382671479729E-3</v>
      </c>
      <c r="AA94" s="7">
        <f>('Imputed Data'!AA94-'Imputed Data'!AA93)/'Imputed Data'!AA93</f>
        <v>4.1095890410958518E-3</v>
      </c>
      <c r="AB94" s="7">
        <f>('Imputed Data'!AB94-'Imputed Data'!AB93)/'Imputed Data'!AB93</f>
        <v>-6.3091482649842269E-3</v>
      </c>
      <c r="AC94" s="7">
        <f>('Imputed Data'!AC94-'Imputed Data'!AC93)/'Imputed Data'!AC93</f>
        <v>2.6571613739468529E-2</v>
      </c>
      <c r="AD94" s="7">
        <f>('Imputed Data'!AD94-'Imputed Data'!AD93)/'Imputed Data'!AD93</f>
        <v>6.7114093959731542E-3</v>
      </c>
      <c r="AE94" s="7">
        <f>('Imputed Data'!AE94-'Imputed Data'!AE93)/'Imputed Data'!AE93</f>
        <v>5.1981806367770167E-3</v>
      </c>
    </row>
    <row r="95" spans="1:31" x14ac:dyDescent="0.25">
      <c r="A95" s="1">
        <f>'Imputed Data'!A95</f>
        <v>44105</v>
      </c>
      <c r="B95" s="1" t="str">
        <f>'Imputed Data'!B95</f>
        <v>Rural+Urban</v>
      </c>
      <c r="C95" s="2">
        <f>'Imputed Data'!C95</f>
        <v>2020</v>
      </c>
      <c r="D95" s="1" t="str">
        <f>'Imputed Data'!D95</f>
        <v>October</v>
      </c>
      <c r="E95" s="7">
        <f>('Imputed Data'!E95-'Imputed Data'!E94)/'Imputed Data'!E94</f>
        <v>-6.064690026954216E-3</v>
      </c>
      <c r="F95" s="7">
        <f>('Imputed Data'!F95-'Imputed Data'!F94)/'Imputed Data'!F94</f>
        <v>9.6205237840727501E-3</v>
      </c>
      <c r="G95" s="7">
        <f>('Imputed Data'!G95-'Imputed Data'!G94)/'Imputed Data'!G94</f>
        <v>5.8360655737704957E-2</v>
      </c>
      <c r="H95" s="7">
        <f>('Imputed Data'!H95-'Imputed Data'!H94)/'Imputed Data'!H94</f>
        <v>0</v>
      </c>
      <c r="I95" s="7">
        <f>('Imputed Data'!I95-'Imputed Data'!I94)/'Imputed Data'!I94</f>
        <v>1.3748191027496425E-2</v>
      </c>
      <c r="J95" s="7">
        <f>('Imputed Data'!J95-'Imputed Data'!J94)/'Imputed Data'!J94</f>
        <v>1.9880715705764278E-3</v>
      </c>
      <c r="K95" s="7">
        <f>('Imputed Data'!K95-'Imputed Data'!K94)/'Imputed Data'!K94</f>
        <v>0.12051419389394752</v>
      </c>
      <c r="L95" s="7">
        <f>('Imputed Data'!L95-'Imputed Data'!L94)/'Imputed Data'!L94</f>
        <v>7.3431241655540335E-3</v>
      </c>
      <c r="M95" s="7">
        <f>('Imputed Data'!M95-'Imputed Data'!M94)/'Imputed Data'!M94</f>
        <v>-1.7182130584192682E-3</v>
      </c>
      <c r="N95" s="7">
        <f>('Imputed Data'!N95-'Imputed Data'!N94)/'Imputed Data'!N94</f>
        <v>4.3668122270741645E-3</v>
      </c>
      <c r="O95" s="7">
        <f>('Imputed Data'!O95-'Imputed Data'!O94)/'Imputed Data'!O94</f>
        <v>1.2658227848101347E-2</v>
      </c>
      <c r="P95" s="7">
        <f>('Imputed Data'!P95-'Imputed Data'!P94)/'Imputed Data'!P94</f>
        <v>1.8416206261509082E-3</v>
      </c>
      <c r="Q95" s="7">
        <f>('Imputed Data'!Q95-'Imputed Data'!Q94)/'Imputed Data'!Q94</f>
        <v>2.1518987341772187E-2</v>
      </c>
      <c r="R95" s="7">
        <f>('Imputed Data'!R95-'Imputed Data'!R94)/'Imputed Data'!R94</f>
        <v>-5.4229934924075003E-4</v>
      </c>
      <c r="S95" s="7">
        <f>('Imputed Data'!S95-'Imputed Data'!S94)/'Imputed Data'!S94</f>
        <v>1.9556714471967596E-3</v>
      </c>
      <c r="T95" s="7">
        <f>('Imputed Data'!T95-'Imputed Data'!T94)/'Imputed Data'!T94</f>
        <v>2.0790020790019607E-3</v>
      </c>
      <c r="U95" s="7">
        <f>('Imputed Data'!U95-'Imputed Data'!U94)/'Imputed Data'!U94</f>
        <v>1.9736842105263904E-3</v>
      </c>
      <c r="V95" s="7">
        <f>('Imputed Data'!V95-'Imputed Data'!V94)/'Imputed Data'!V94</f>
        <v>1.2795905310299975E-3</v>
      </c>
      <c r="W95" s="7">
        <f>('Imputed Data'!W95-'Imputed Data'!W94)/'Imputed Data'!W94</f>
        <v>1.3995801259621317E-3</v>
      </c>
      <c r="X95" s="7">
        <f>('Imputed Data'!X95-'Imputed Data'!X94)/'Imputed Data'!X94</f>
        <v>0</v>
      </c>
      <c r="Y95" s="7">
        <f>('Imputed Data'!Y95-'Imputed Data'!Y94)/'Imputed Data'!Y94</f>
        <v>4.4987146529564077E-3</v>
      </c>
      <c r="Z95" s="7">
        <f>('Imputed Data'!Z95-'Imputed Data'!Z94)/'Imputed Data'!Z94</f>
        <v>7.1633237822349575E-3</v>
      </c>
      <c r="AA95" s="7">
        <f>('Imputed Data'!AA95-'Imputed Data'!AA94)/'Imputed Data'!AA94</f>
        <v>-6.8212824010910182E-4</v>
      </c>
      <c r="AB95" s="7">
        <f>('Imputed Data'!AB95-'Imputed Data'!AB94)/'Imputed Data'!AB94</f>
        <v>6.3492063492063492E-3</v>
      </c>
      <c r="AC95" s="7">
        <f>('Imputed Data'!AC95-'Imputed Data'!AC94)/'Imputed Data'!AC94</f>
        <v>-8.8383838383838745E-3</v>
      </c>
      <c r="AD95" s="7">
        <f>('Imputed Data'!AD95-'Imputed Data'!AD94)/'Imputed Data'!AD94</f>
        <v>2.6666666666667047E-3</v>
      </c>
      <c r="AE95" s="7">
        <f>('Imputed Data'!AE95-'Imputed Data'!AE94)/'Imputed Data'!AE94</f>
        <v>1.0989010989011101E-2</v>
      </c>
    </row>
    <row r="96" spans="1:31" x14ac:dyDescent="0.25">
      <c r="A96" s="1">
        <f>'Imputed Data'!A96</f>
        <v>44136</v>
      </c>
      <c r="B96" s="1" t="str">
        <f>'Imputed Data'!B96</f>
        <v>Rural+Urban</v>
      </c>
      <c r="C96" s="2">
        <f>'Imputed Data'!C96</f>
        <v>2020</v>
      </c>
      <c r="D96" s="1" t="str">
        <f>'Imputed Data'!D96</f>
        <v>November</v>
      </c>
      <c r="E96" s="7">
        <f>('Imputed Data'!E96-'Imputed Data'!E95)/'Imputed Data'!E95</f>
        <v>-4.7457627118643294E-3</v>
      </c>
      <c r="F96" s="7">
        <f>('Imputed Data'!F96-'Imputed Data'!F95)/'Imputed Data'!F95</f>
        <v>1.1116993118051848E-2</v>
      </c>
      <c r="G96" s="7">
        <f>('Imputed Data'!G96-'Imputed Data'!G95)/'Imputed Data'!G95</f>
        <v>7.5588599752168459E-2</v>
      </c>
      <c r="H96" s="7">
        <f>('Imputed Data'!H96-'Imputed Data'!H95)/'Imputed Data'!H95</f>
        <v>1.3020833333334445E-3</v>
      </c>
      <c r="I96" s="7">
        <f>('Imputed Data'!I96-'Imputed Data'!I95)/'Imputed Data'!I95</f>
        <v>1.855817273376156E-2</v>
      </c>
      <c r="J96" s="7">
        <f>('Imputed Data'!J96-'Imputed Data'!J95)/'Imputed Data'!J95</f>
        <v>-1.8518518518518406E-2</v>
      </c>
      <c r="K96" s="7">
        <f>('Imputed Data'!K96-'Imputed Data'!K95)/'Imputed Data'!K95</f>
        <v>9.9426386233269659E-2</v>
      </c>
      <c r="L96" s="7">
        <f>('Imputed Data'!L96-'Imputed Data'!L95)/'Imputed Data'!L95</f>
        <v>3.9098740888005336E-2</v>
      </c>
      <c r="M96" s="7">
        <f>('Imputed Data'!M96-'Imputed Data'!M95)/'Imputed Data'!M95</f>
        <v>-4.3029259896729772E-3</v>
      </c>
      <c r="N96" s="7">
        <f>('Imputed Data'!N96-'Imputed Data'!N95)/'Imputed Data'!N95</f>
        <v>4.9689440993789524E-3</v>
      </c>
      <c r="O96" s="7">
        <f>('Imputed Data'!O96-'Imputed Data'!O95)/'Imputed Data'!O95</f>
        <v>1.7361111111111112E-2</v>
      </c>
      <c r="P96" s="7">
        <f>('Imputed Data'!P96-'Imputed Data'!P95)/'Imputed Data'!P95</f>
        <v>3.6764705882354337E-3</v>
      </c>
      <c r="Q96" s="7">
        <f>('Imputed Data'!Q96-'Imputed Data'!Q95)/'Imputed Data'!Q95</f>
        <v>2.0446096654274985E-2</v>
      </c>
      <c r="R96" s="7">
        <f>('Imputed Data'!R96-'Imputed Data'!R95)/'Imputed Data'!R95</f>
        <v>2.7129679869777536E-3</v>
      </c>
      <c r="S96" s="7">
        <f>('Imputed Data'!S96-'Imputed Data'!S95)/'Imputed Data'!S95</f>
        <v>3.9037085230970905E-3</v>
      </c>
      <c r="T96" s="7">
        <f>('Imputed Data'!T96-'Imputed Data'!T95)/'Imputed Data'!T95</f>
        <v>2.0746887966805764E-3</v>
      </c>
      <c r="U96" s="7">
        <f>('Imputed Data'!U96-'Imputed Data'!U95)/'Imputed Data'!U95</f>
        <v>3.2829940906106366E-3</v>
      </c>
      <c r="V96" s="7">
        <f>('Imputed Data'!V96-'Imputed Data'!V95)/'Imputed Data'!V95</f>
        <v>9.5846645367412137E-3</v>
      </c>
      <c r="W96" s="7">
        <f>('Imputed Data'!W96-'Imputed Data'!W95)/'Imputed Data'!W95</f>
        <v>3.4940600978336828E-3</v>
      </c>
      <c r="X96" s="7">
        <f>('Imputed Data'!X96-'Imputed Data'!X95)/'Imputed Data'!X95</f>
        <v>3.3624747814391394E-3</v>
      </c>
      <c r="Y96" s="7">
        <f>('Imputed Data'!Y96-'Imputed Data'!Y95)/'Imputed Data'!Y95</f>
        <v>5.7581573896351712E-3</v>
      </c>
      <c r="Z96" s="7">
        <f>('Imputed Data'!Z96-'Imputed Data'!Z95)/'Imputed Data'!Z95</f>
        <v>-1.4224751066855522E-3</v>
      </c>
      <c r="AA96" s="7">
        <f>('Imputed Data'!AA96-'Imputed Data'!AA95)/'Imputed Data'!AA95</f>
        <v>1.2969283276450552E-2</v>
      </c>
      <c r="AB96" s="7">
        <f>('Imputed Data'!AB96-'Imputed Data'!AB95)/'Imputed Data'!AB95</f>
        <v>6.3091482649838687E-4</v>
      </c>
      <c r="AC96" s="7">
        <f>('Imputed Data'!AC96-'Imputed Data'!AC95)/'Imputed Data'!AC95</f>
        <v>-6.3694267515919942E-4</v>
      </c>
      <c r="AD96" s="7">
        <f>('Imputed Data'!AD96-'Imputed Data'!AD95)/'Imputed Data'!AD95</f>
        <v>1.9946808510637164E-3</v>
      </c>
      <c r="AE96" s="7">
        <f>('Imputed Data'!AE96-'Imputed Data'!AE95)/'Imputed Data'!AE95</f>
        <v>1.278772378516624E-2</v>
      </c>
    </row>
    <row r="97" spans="1:31" x14ac:dyDescent="0.25">
      <c r="A97" s="1">
        <f>'Imputed Data'!A97</f>
        <v>44166</v>
      </c>
      <c r="B97" s="1" t="str">
        <f>'Imputed Data'!B97</f>
        <v>Rural+Urban</v>
      </c>
      <c r="C97" s="2">
        <f>'Imputed Data'!C97</f>
        <v>2020</v>
      </c>
      <c r="D97" s="1" t="str">
        <f>'Imputed Data'!D97</f>
        <v>December</v>
      </c>
      <c r="E97" s="7">
        <f>('Imputed Data'!E97-'Imputed Data'!E96)/'Imputed Data'!E96</f>
        <v>-5.449591280654028E-3</v>
      </c>
      <c r="F97" s="7">
        <f>('Imputed Data'!F97-'Imputed Data'!F96)/'Imputed Data'!F96</f>
        <v>0</v>
      </c>
      <c r="G97" s="7">
        <f>('Imputed Data'!G97-'Imputed Data'!G96)/'Imputed Data'!G96</f>
        <v>9.7926267281106972E-3</v>
      </c>
      <c r="H97" s="7">
        <f>('Imputed Data'!H97-'Imputed Data'!H96)/'Imputed Data'!H96</f>
        <v>1.9505851755525548E-3</v>
      </c>
      <c r="I97" s="7">
        <f>('Imputed Data'!I97-'Imputed Data'!I96)/'Imputed Data'!I96</f>
        <v>2.7330063069376357E-2</v>
      </c>
      <c r="J97" s="7">
        <f>('Imputed Data'!J97-'Imputed Data'!J96)/'Imputed Data'!J96</f>
        <v>-4.716981132075586E-3</v>
      </c>
      <c r="K97" s="7">
        <f>('Imputed Data'!K97-'Imputed Data'!K96)/'Imputed Data'!K96</f>
        <v>2.1739130434782609E-3</v>
      </c>
      <c r="L97" s="7">
        <f>('Imputed Data'!L97-'Imputed Data'!L96)/'Imputed Data'!L96</f>
        <v>2.1683673469387609E-2</v>
      </c>
      <c r="M97" s="7">
        <f>('Imputed Data'!M97-'Imputed Data'!M96)/'Imputed Data'!M96</f>
        <v>-3.4572169403630569E-3</v>
      </c>
      <c r="N97" s="7">
        <f>('Imputed Data'!N97-'Imputed Data'!N96)/'Imputed Data'!N96</f>
        <v>7.4165636588380008E-3</v>
      </c>
      <c r="O97" s="7">
        <f>('Imputed Data'!O97-'Imputed Data'!O96)/'Imputed Data'!O96</f>
        <v>1.8430034129692754E-2</v>
      </c>
      <c r="P97" s="7">
        <f>('Imputed Data'!P97-'Imputed Data'!P96)/'Imputed Data'!P96</f>
        <v>6.105006105006105E-3</v>
      </c>
      <c r="Q97" s="7">
        <f>('Imputed Data'!Q97-'Imputed Data'!Q96)/'Imputed Data'!Q96</f>
        <v>4.2501517911355015E-3</v>
      </c>
      <c r="R97" s="7">
        <f>('Imputed Data'!R97-'Imputed Data'!R96)/'Imputed Data'!R96</f>
        <v>3.2467532467532157E-3</v>
      </c>
      <c r="S97" s="7">
        <f>('Imputed Data'!S97-'Imputed Data'!S96)/'Imputed Data'!S96</f>
        <v>4.536616979909194E-3</v>
      </c>
      <c r="T97" s="7">
        <f>('Imputed Data'!T97-'Imputed Data'!T96)/'Imputed Data'!T96</f>
        <v>3.450655624568668E-3</v>
      </c>
      <c r="U97" s="7">
        <f>('Imputed Data'!U97-'Imputed Data'!U96)/'Imputed Data'!U96</f>
        <v>5.2356020942407261E-3</v>
      </c>
      <c r="V97" s="7">
        <f>('Imputed Data'!V97-'Imputed Data'!V96)/'Imputed Data'!V96</f>
        <v>2.5316455696202892E-3</v>
      </c>
      <c r="W97" s="7">
        <f>('Imputed Data'!W97-'Imputed Data'!W96)/'Imputed Data'!W96</f>
        <v>6.9637883008356553E-3</v>
      </c>
      <c r="X97" s="7">
        <f>('Imputed Data'!X97-'Imputed Data'!X96)/'Imputed Data'!X96</f>
        <v>3.351206434316354E-3</v>
      </c>
      <c r="Y97" s="7">
        <f>('Imputed Data'!Y97-'Imputed Data'!Y96)/'Imputed Data'!Y96</f>
        <v>6.9974554707380584E-3</v>
      </c>
      <c r="Z97" s="7">
        <f>('Imputed Data'!Z97-'Imputed Data'!Z96)/'Imputed Data'!Z96</f>
        <v>2.1367521367520151E-3</v>
      </c>
      <c r="AA97" s="7">
        <f>('Imputed Data'!AA97-'Imputed Data'!AA96)/'Imputed Data'!AA96</f>
        <v>6.7385444743931476E-4</v>
      </c>
      <c r="AB97" s="7">
        <f>('Imputed Data'!AB97-'Imputed Data'!AB96)/'Imputed Data'!AB96</f>
        <v>5.0441361916772473E-3</v>
      </c>
      <c r="AC97" s="7">
        <f>('Imputed Data'!AC97-'Imputed Data'!AC96)/'Imputed Data'!AC96</f>
        <v>1.2746972594008198E-3</v>
      </c>
      <c r="AD97" s="7">
        <f>('Imputed Data'!AD97-'Imputed Data'!AD96)/'Imputed Data'!AD96</f>
        <v>3.3178500331785005E-3</v>
      </c>
      <c r="AE97" s="7">
        <f>('Imputed Data'!AE97-'Imputed Data'!AE96)/'Imputed Data'!AE96</f>
        <v>3.1565656565656565E-3</v>
      </c>
    </row>
    <row r="98" spans="1:31" x14ac:dyDescent="0.25">
      <c r="A98" s="1">
        <f>'Imputed Data'!A98</f>
        <v>44197</v>
      </c>
      <c r="B98" s="1" t="str">
        <f>'Imputed Data'!B98</f>
        <v>Rural+Urban</v>
      </c>
      <c r="C98" s="2">
        <f>'Imputed Data'!C98</f>
        <v>2021</v>
      </c>
      <c r="D98" s="1" t="str">
        <f>'Imputed Data'!D98</f>
        <v>January</v>
      </c>
      <c r="E98" s="7">
        <f>('Imputed Data'!E98-'Imputed Data'!E97)/'Imputed Data'!E97</f>
        <v>-7.534246575342427E-3</v>
      </c>
      <c r="F98" s="7">
        <f>('Imputed Data'!F98-'Imputed Data'!F97)/'Imputed Data'!F97</f>
        <v>-4.7120418848167834E-3</v>
      </c>
      <c r="G98" s="7">
        <f>('Imputed Data'!G98-'Imputed Data'!G97)/'Imputed Data'!G97</f>
        <v>0</v>
      </c>
      <c r="H98" s="7">
        <f>('Imputed Data'!H98-'Imputed Data'!H97)/'Imputed Data'!H97</f>
        <v>0</v>
      </c>
      <c r="I98" s="7">
        <f>('Imputed Data'!I98-'Imputed Data'!I97)/'Imputed Data'!I97</f>
        <v>2.9331514324693123E-2</v>
      </c>
      <c r="J98" s="7">
        <f>('Imputed Data'!J98-'Imputed Data'!J97)/'Imputed Data'!J97</f>
        <v>1.2863913337847026E-2</v>
      </c>
      <c r="K98" s="7">
        <f>('Imputed Data'!K98-'Imputed Data'!K97)/'Imputed Data'!K97</f>
        <v>-0.15748373101952282</v>
      </c>
      <c r="L98" s="7">
        <f>('Imputed Data'!L98-'Imputed Data'!L97)/'Imputed Data'!L97</f>
        <v>1.2484394506867482E-3</v>
      </c>
      <c r="M98" s="7">
        <f>('Imputed Data'!M98-'Imputed Data'!M97)/'Imputed Data'!M97</f>
        <v>-6.0711188204683681E-3</v>
      </c>
      <c r="N98" s="7">
        <f>('Imputed Data'!N98-'Imputed Data'!N97)/'Imputed Data'!N97</f>
        <v>6.1349693251533744E-3</v>
      </c>
      <c r="O98" s="7">
        <f>('Imputed Data'!O98-'Imputed Data'!O97)/'Imputed Data'!O97</f>
        <v>1.7426273458445194E-2</v>
      </c>
      <c r="P98" s="7">
        <f>('Imputed Data'!P98-'Imputed Data'!P97)/'Imputed Data'!P97</f>
        <v>4.8543689320387313E-3</v>
      </c>
      <c r="Q98" s="7">
        <f>('Imputed Data'!Q98-'Imputed Data'!Q97)/'Imputed Data'!Q97</f>
        <v>-2.6602176541717083E-2</v>
      </c>
      <c r="R98" s="7">
        <f>('Imputed Data'!R98-'Imputed Data'!R97)/'Imputed Data'!R97</f>
        <v>5.9331175836029896E-3</v>
      </c>
      <c r="S98" s="7">
        <f>('Imputed Data'!S98-'Imputed Data'!S97)/'Imputed Data'!S97</f>
        <v>3.2258064516129032E-3</v>
      </c>
      <c r="T98" s="7">
        <f>('Imputed Data'!T98-'Imputed Data'!T97)/'Imputed Data'!T97</f>
        <v>4.8143053645116132E-3</v>
      </c>
      <c r="U98" s="7">
        <f>('Imputed Data'!U98-'Imputed Data'!U97)/'Imputed Data'!U97</f>
        <v>3.9062499999999631E-3</v>
      </c>
      <c r="V98" s="7">
        <f>('Imputed Data'!V98-'Imputed Data'!V97)/'Imputed Data'!V97</f>
        <v>-4.4191919191920266E-3</v>
      </c>
      <c r="W98" s="7">
        <f>('Imputed Data'!W98-'Imputed Data'!W97)/'Imputed Data'!W97</f>
        <v>2.2821576763485556E-2</v>
      </c>
      <c r="X98" s="7">
        <f>('Imputed Data'!X98-'Imputed Data'!X97)/'Imputed Data'!X97</f>
        <v>2.0040080160321403E-3</v>
      </c>
      <c r="Y98" s="7">
        <f>('Imputed Data'!Y98-'Imputed Data'!Y97)/'Imputed Data'!Y97</f>
        <v>6.3171193935565376E-3</v>
      </c>
      <c r="Z98" s="7">
        <f>('Imputed Data'!Z98-'Imputed Data'!Z97)/'Imputed Data'!Z97</f>
        <v>8.5287846481877545E-3</v>
      </c>
      <c r="AA98" s="7">
        <f>('Imputed Data'!AA98-'Imputed Data'!AA97)/'Imputed Data'!AA97</f>
        <v>7.4074074074073695E-3</v>
      </c>
      <c r="AB98" s="7">
        <f>('Imputed Data'!AB98-'Imputed Data'!AB97)/'Imputed Data'!AB97</f>
        <v>-1.2547051442911986E-3</v>
      </c>
      <c r="AC98" s="7">
        <f>('Imputed Data'!AC98-'Imputed Data'!AC97)/'Imputed Data'!AC97</f>
        <v>-1.9096117122850602E-3</v>
      </c>
      <c r="AD98" s="7">
        <f>('Imputed Data'!AD98-'Imputed Data'!AD97)/'Imputed Data'!AD97</f>
        <v>4.629629629629743E-3</v>
      </c>
      <c r="AE98" s="7">
        <f>('Imputed Data'!AE98-'Imputed Data'!AE97)/'Imputed Data'!AE97</f>
        <v>-1.006922592825673E-2</v>
      </c>
    </row>
    <row r="99" spans="1:31" x14ac:dyDescent="0.25">
      <c r="A99" s="1">
        <f>'Imputed Data'!A99</f>
        <v>44228</v>
      </c>
      <c r="B99" s="1" t="str">
        <f>'Imputed Data'!B99</f>
        <v>Rural+Urban</v>
      </c>
      <c r="C99" s="2">
        <f>'Imputed Data'!C99</f>
        <v>2021</v>
      </c>
      <c r="D99" s="1" t="str">
        <f>'Imputed Data'!D99</f>
        <v>February</v>
      </c>
      <c r="E99" s="7">
        <f>('Imputed Data'!E99-'Imputed Data'!E98)/'Imputed Data'!E98</f>
        <v>-4.1407867494823621E-3</v>
      </c>
      <c r="F99" s="7">
        <f>('Imputed Data'!F99-'Imputed Data'!F98)/'Imputed Data'!F98</f>
        <v>-1.8937401367701182E-2</v>
      </c>
      <c r="G99" s="7">
        <f>('Imputed Data'!G99-'Imputed Data'!G98)/'Imputed Data'!G98</f>
        <v>-3.764974329720492E-2</v>
      </c>
      <c r="H99" s="7">
        <f>('Imputed Data'!H99-'Imputed Data'!H98)/'Imputed Data'!H98</f>
        <v>3.893575600259535E-3</v>
      </c>
      <c r="I99" s="7">
        <f>('Imputed Data'!I99-'Imputed Data'!I98)/'Imputed Data'!I98</f>
        <v>5.1689860834989942E-2</v>
      </c>
      <c r="J99" s="7">
        <f>('Imputed Data'!J99-'Imputed Data'!J98)/'Imputed Data'!J98</f>
        <v>7.3529411764705508E-3</v>
      </c>
      <c r="K99" s="7">
        <f>('Imputed Data'!K99-'Imputed Data'!K98)/'Imputed Data'!K98</f>
        <v>-0.17610710607621005</v>
      </c>
      <c r="L99" s="7">
        <f>('Imputed Data'!L99-'Imputed Data'!L98)/'Imputed Data'!L98</f>
        <v>-9.9750623441396159E-3</v>
      </c>
      <c r="M99" s="7">
        <f>('Imputed Data'!M99-'Imputed Data'!M98)/'Imputed Data'!M98</f>
        <v>-1.5706806282722488E-2</v>
      </c>
      <c r="N99" s="7">
        <f>('Imputed Data'!N99-'Imputed Data'!N98)/'Imputed Data'!N98</f>
        <v>1.2195121951218818E-3</v>
      </c>
      <c r="O99" s="7">
        <f>('Imputed Data'!O99-'Imputed Data'!O98)/'Imputed Data'!O98</f>
        <v>2.4374176548089516E-2</v>
      </c>
      <c r="P99" s="7">
        <f>('Imputed Data'!P99-'Imputed Data'!P98)/'Imputed Data'!P98</f>
        <v>1.1473429951690857E-2</v>
      </c>
      <c r="Q99" s="7">
        <f>('Imputed Data'!Q99-'Imputed Data'!Q98)/'Imputed Data'!Q98</f>
        <v>-2.5465838509316736E-2</v>
      </c>
      <c r="R99" s="7">
        <f>('Imputed Data'!R99-'Imputed Data'!R98)/'Imputed Data'!R98</f>
        <v>9.6514745308311604E-3</v>
      </c>
      <c r="S99" s="7">
        <f>('Imputed Data'!S99-'Imputed Data'!S98)/'Imputed Data'!S98</f>
        <v>1.09324758842443E-2</v>
      </c>
      <c r="T99" s="7">
        <f>('Imputed Data'!T99-'Imputed Data'!T98)/'Imputed Data'!T98</f>
        <v>8.8980150581794079E-3</v>
      </c>
      <c r="U99" s="7">
        <f>('Imputed Data'!U99-'Imputed Data'!U98)/'Imputed Data'!U98</f>
        <v>1.0376134889753716E-2</v>
      </c>
      <c r="V99" s="7">
        <f>('Imputed Data'!V99-'Imputed Data'!V98)/'Imputed Data'!V98</f>
        <v>1.331642358909336E-2</v>
      </c>
      <c r="W99" s="7">
        <f>('Imputed Data'!W99-'Imputed Data'!W98)/'Imputed Data'!W98</f>
        <v>3.0425963488843813E-2</v>
      </c>
      <c r="X99" s="7">
        <f>('Imputed Data'!X99-'Imputed Data'!X98)/'Imputed Data'!X98</f>
        <v>6.0000000000000383E-3</v>
      </c>
      <c r="Y99" s="7">
        <f>('Imputed Data'!Y99-'Imputed Data'!Y98)/'Imputed Data'!Y98</f>
        <v>1.2554927809165096E-2</v>
      </c>
      <c r="Z99" s="7">
        <f>('Imputed Data'!Z99-'Imputed Data'!Z98)/'Imputed Data'!Z98</f>
        <v>2.2551092318534097E-2</v>
      </c>
      <c r="AA99" s="7">
        <f>('Imputed Data'!AA99-'Imputed Data'!AA98)/'Imputed Data'!AA98</f>
        <v>1.2700534759358327E-2</v>
      </c>
      <c r="AB99" s="7">
        <f>('Imputed Data'!AB99-'Imputed Data'!AB98)/'Imputed Data'!AB98</f>
        <v>1.8844221105528353E-3</v>
      </c>
      <c r="AC99" s="7">
        <f>('Imputed Data'!AC99-'Imputed Data'!AC98)/'Imputed Data'!AC98</f>
        <v>-6.3775510204081625E-3</v>
      </c>
      <c r="AD99" s="7">
        <f>('Imputed Data'!AD99-'Imputed Data'!AD98)/'Imputed Data'!AD98</f>
        <v>9.8749177090190904E-3</v>
      </c>
      <c r="AE99" s="7">
        <f>('Imputed Data'!AE99-'Imputed Data'!AE98)/'Imputed Data'!AE98</f>
        <v>-4.4500953591863762E-3</v>
      </c>
    </row>
    <row r="100" spans="1:31" x14ac:dyDescent="0.25">
      <c r="A100" s="1">
        <f>'Imputed Data'!A100</f>
        <v>44256</v>
      </c>
      <c r="B100" s="1" t="str">
        <f>'Imputed Data'!B100</f>
        <v>Rural+Urban</v>
      </c>
      <c r="C100" s="2">
        <f>'Imputed Data'!C100</f>
        <v>2021</v>
      </c>
      <c r="D100" s="1" t="str">
        <f>'Imputed Data'!D100</f>
        <v>March</v>
      </c>
      <c r="E100" s="7">
        <f>('Imputed Data'!E100-'Imputed Data'!E99)/'Imputed Data'!E99</f>
        <v>-1.386001386001504E-3</v>
      </c>
      <c r="F100" s="7">
        <f>('Imputed Data'!F100-'Imputed Data'!F99)/'Imputed Data'!F99</f>
        <v>3.0563002680965085E-2</v>
      </c>
      <c r="G100" s="7">
        <f>('Imputed Data'!G100-'Imputed Data'!G99)/'Imputed Data'!G99</f>
        <v>-2.9045643153526837E-2</v>
      </c>
      <c r="H100" s="7">
        <f>('Imputed Data'!H100-'Imputed Data'!H99)/'Imputed Data'!H99</f>
        <v>1.2928248222366973E-3</v>
      </c>
      <c r="I100" s="7">
        <f>('Imputed Data'!I100-'Imputed Data'!I99)/'Imputed Data'!I99</f>
        <v>3.2766225582860853E-2</v>
      </c>
      <c r="J100" s="7">
        <f>('Imputed Data'!J100-'Imputed Data'!J99)/'Imputed Data'!J99</f>
        <v>1.9907100199071003E-2</v>
      </c>
      <c r="K100" s="7">
        <f>('Imputed Data'!K100-'Imputed Data'!K99)/'Imputed Data'!K99</f>
        <v>-6.5625000000000003E-2</v>
      </c>
      <c r="L100" s="7">
        <f>('Imputed Data'!L100-'Imputed Data'!L99)/'Imputed Data'!L99</f>
        <v>6.2972292191435762E-3</v>
      </c>
      <c r="M100" s="7">
        <f>('Imputed Data'!M100-'Imputed Data'!M99)/'Imputed Data'!M99</f>
        <v>-1.7730496453900962E-3</v>
      </c>
      <c r="N100" s="7">
        <f>('Imputed Data'!N100-'Imputed Data'!N99)/'Imputed Data'!N99</f>
        <v>-4.2630937880632682E-3</v>
      </c>
      <c r="O100" s="7">
        <f>('Imputed Data'!O100-'Imputed Data'!O99)/'Imputed Data'!O99</f>
        <v>6.4308681672025723E-3</v>
      </c>
      <c r="P100" s="7">
        <f>('Imputed Data'!P100-'Imputed Data'!P99)/'Imputed Data'!P99</f>
        <v>4.1791044776118723E-3</v>
      </c>
      <c r="Q100" s="7">
        <f>('Imputed Data'!Q100-'Imputed Data'!Q99)/'Imputed Data'!Q99</f>
        <v>-1.2746972594010009E-3</v>
      </c>
      <c r="R100" s="7">
        <f>('Imputed Data'!R100-'Imputed Data'!R99)/'Imputed Data'!R99</f>
        <v>-1.0621348911312642E-3</v>
      </c>
      <c r="S100" s="7">
        <f>('Imputed Data'!S100-'Imputed Data'!S99)/'Imputed Data'!S99</f>
        <v>3.8167938931299157E-3</v>
      </c>
      <c r="T100" s="7">
        <f>('Imputed Data'!T100-'Imputed Data'!T99)/'Imputed Data'!T99</f>
        <v>3.3921302578018993E-3</v>
      </c>
      <c r="U100" s="7">
        <f>('Imputed Data'!U100-'Imputed Data'!U99)/'Imputed Data'!U99</f>
        <v>3.8510911424903356E-3</v>
      </c>
      <c r="V100" s="7">
        <f>('Imputed Data'!V100-'Imputed Data'!V99)/'Imputed Data'!V99</f>
        <v>6.2578222778469526E-4</v>
      </c>
      <c r="W100" s="7">
        <f>('Imputed Data'!W100-'Imputed Data'!W99)/'Imputed Data'!W99</f>
        <v>2.0341207349081326E-2</v>
      </c>
      <c r="X100" s="7">
        <f>('Imputed Data'!X100-'Imputed Data'!X99)/'Imputed Data'!X99</f>
        <v>1.9880715705764278E-3</v>
      </c>
      <c r="Y100" s="7">
        <f>('Imputed Data'!Y100-'Imputed Data'!Y99)/'Imputed Data'!Y99</f>
        <v>2.4798512089273233E-3</v>
      </c>
      <c r="Z100" s="7">
        <f>('Imputed Data'!Z100-'Imputed Data'!Z99)/'Imputed Data'!Z99</f>
        <v>7.5809786354238068E-3</v>
      </c>
      <c r="AA100" s="7">
        <f>('Imputed Data'!AA100-'Imputed Data'!AA99)/'Imputed Data'!AA99</f>
        <v>7.2607260726072235E-3</v>
      </c>
      <c r="AB100" s="7">
        <f>('Imputed Data'!AB100-'Imputed Data'!AB99)/'Imputed Data'!AB99</f>
        <v>4.3887147335422488E-3</v>
      </c>
      <c r="AC100" s="7">
        <f>('Imputed Data'!AC100-'Imputed Data'!AC99)/'Imputed Data'!AC99</f>
        <v>-1.2836970474967907E-2</v>
      </c>
      <c r="AD100" s="7">
        <f>('Imputed Data'!AD100-'Imputed Data'!AD99)/'Imputed Data'!AD99</f>
        <v>2.6075619295958647E-3</v>
      </c>
      <c r="AE100" s="7">
        <f>('Imputed Data'!AE100-'Imputed Data'!AE99)/'Imputed Data'!AE99</f>
        <v>1.2771392081737999E-3</v>
      </c>
    </row>
    <row r="101" spans="1:31" x14ac:dyDescent="0.25">
      <c r="A101" s="1">
        <f>'Imputed Data'!A101</f>
        <v>44287</v>
      </c>
      <c r="B101" s="1" t="str">
        <f>'Imputed Data'!B101</f>
        <v>Rural+Urban</v>
      </c>
      <c r="C101" s="2">
        <f>'Imputed Data'!C101</f>
        <v>2021</v>
      </c>
      <c r="D101" s="1" t="str">
        <f>'Imputed Data'!D101</f>
        <v>April</v>
      </c>
      <c r="E101" s="7">
        <f>('Imputed Data'!E101-'Imputed Data'!E100)/'Imputed Data'!E100</f>
        <v>1.3879250520473078E-3</v>
      </c>
      <c r="F101" s="7">
        <f>('Imputed Data'!F101-'Imputed Data'!F100)/'Imputed Data'!F100</f>
        <v>3.0176899063475607E-2</v>
      </c>
      <c r="G101" s="7">
        <f>('Imputed Data'!G101-'Imputed Data'!G100)/'Imputed Data'!G100</f>
        <v>4.8840048840047799E-3</v>
      </c>
      <c r="H101" s="7">
        <f>('Imputed Data'!H101-'Imputed Data'!H100)/'Imputed Data'!H100</f>
        <v>3.2278889606197547E-3</v>
      </c>
      <c r="I101" s="7">
        <f>('Imputed Data'!I101-'Imputed Data'!I100)/'Imputed Data'!I100</f>
        <v>3.7827943868212255E-2</v>
      </c>
      <c r="J101" s="7">
        <f>('Imputed Data'!J101-'Imputed Data'!J100)/'Imputed Data'!J100</f>
        <v>6.9616135328562256E-2</v>
      </c>
      <c r="K101" s="7">
        <f>('Imputed Data'!K101-'Imputed Data'!K100)/'Imputed Data'!K100</f>
        <v>-3.6120401337792679E-2</v>
      </c>
      <c r="L101" s="7">
        <f>('Imputed Data'!L101-'Imputed Data'!L100)/'Imputed Data'!L100</f>
        <v>1.1889862327909744E-2</v>
      </c>
      <c r="M101" s="7">
        <f>('Imputed Data'!M101-'Imputed Data'!M100)/'Imputed Data'!M100</f>
        <v>4.4404973357015992E-3</v>
      </c>
      <c r="N101" s="7">
        <f>('Imputed Data'!N101-'Imputed Data'!N100)/'Imputed Data'!N100</f>
        <v>2.4464831804281695E-3</v>
      </c>
      <c r="O101" s="7">
        <f>('Imputed Data'!O101-'Imputed Data'!O100)/'Imputed Data'!O100</f>
        <v>7.0287539936101876E-3</v>
      </c>
      <c r="P101" s="7">
        <f>('Imputed Data'!P101-'Imputed Data'!P100)/'Imputed Data'!P100</f>
        <v>4.1617122473247151E-3</v>
      </c>
      <c r="Q101" s="7">
        <f>('Imputed Data'!Q101-'Imputed Data'!Q100)/'Imputed Data'!Q100</f>
        <v>8.2961072112317253E-3</v>
      </c>
      <c r="R101" s="7">
        <f>('Imputed Data'!R101-'Imputed Data'!R100)/'Imputed Data'!R100</f>
        <v>3.7214247740564436E-3</v>
      </c>
      <c r="S101" s="7">
        <f>('Imputed Data'!S101-'Imputed Data'!S100)/'Imputed Data'!S100</f>
        <v>6.3371356147021544E-3</v>
      </c>
      <c r="T101" s="7">
        <f>('Imputed Data'!T101-'Imputed Data'!T100)/'Imputed Data'!T100</f>
        <v>4.0567951318458036E-3</v>
      </c>
      <c r="U101" s="7">
        <f>('Imputed Data'!U101-'Imputed Data'!U100)/'Imputed Data'!U100</f>
        <v>5.7544757033248439E-3</v>
      </c>
      <c r="V101" s="7">
        <f>('Imputed Data'!V101-'Imputed Data'!V100)/'Imputed Data'!V100</f>
        <v>9.3808630393996239E-3</v>
      </c>
      <c r="W101" s="7">
        <f>('Imputed Data'!W101-'Imputed Data'!W100)/'Imputed Data'!W100</f>
        <v>6.4308681672022071E-4</v>
      </c>
      <c r="X101" s="7">
        <f>('Imputed Data'!X101-'Imputed Data'!X100)/'Imputed Data'!X100</f>
        <v>3.968253968254119E-3</v>
      </c>
      <c r="Y101" s="7">
        <f>('Imputed Data'!Y101-'Imputed Data'!Y100)/'Imputed Data'!Y100</f>
        <v>3.7105751391467087E-3</v>
      </c>
      <c r="Z101" s="7">
        <f>('Imputed Data'!Z101-'Imputed Data'!Z100)/'Imputed Data'!Z100</f>
        <v>2.7359781121751416E-3</v>
      </c>
      <c r="AA101" s="7">
        <f>('Imputed Data'!AA101-'Imputed Data'!AA100)/'Imputed Data'!AA100</f>
        <v>3.9318479685451794E-3</v>
      </c>
      <c r="AB101" s="7">
        <f>('Imputed Data'!AB101-'Imputed Data'!AB100)/'Imputed Data'!AB100</f>
        <v>6.2421972534346278E-4</v>
      </c>
      <c r="AC101" s="7">
        <f>('Imputed Data'!AC101-'Imputed Data'!AC100)/'Imputed Data'!AC100</f>
        <v>1.0403120936280846E-2</v>
      </c>
      <c r="AD101" s="7">
        <f>('Imputed Data'!AD101-'Imputed Data'!AD100)/'Imputed Data'!AD100</f>
        <v>3.9011703511052944E-3</v>
      </c>
      <c r="AE101" s="7">
        <f>('Imputed Data'!AE101-'Imputed Data'!AE100)/'Imputed Data'!AE100</f>
        <v>6.3775510204081625E-3</v>
      </c>
    </row>
    <row r="102" spans="1:31" x14ac:dyDescent="0.25">
      <c r="A102" s="1">
        <f>'Imputed Data'!A102</f>
        <v>44317</v>
      </c>
      <c r="B102" s="1" t="str">
        <f>'Imputed Data'!B102</f>
        <v>Rural+Urban</v>
      </c>
      <c r="C102" s="2">
        <f>'Imputed Data'!C102</f>
        <v>2021</v>
      </c>
      <c r="D102" s="1" t="str">
        <f>'Imputed Data'!D102</f>
        <v>May</v>
      </c>
      <c r="E102" s="7">
        <f>('Imputed Data'!E102-'Imputed Data'!E101)/'Imputed Data'!E101</f>
        <v>1.386001386001386E-2</v>
      </c>
      <c r="F102" s="7">
        <f>('Imputed Data'!F102-'Imputed Data'!F101)/'Imputed Data'!F101</f>
        <v>1.2626262626262626E-2</v>
      </c>
      <c r="G102" s="7">
        <f>('Imputed Data'!G102-'Imputed Data'!G101)/'Imputed Data'!G101</f>
        <v>3.4629404617254056E-2</v>
      </c>
      <c r="H102" s="7">
        <f>('Imputed Data'!H102-'Imputed Data'!H101)/'Imputed Data'!H101</f>
        <v>4.5045045045044316E-3</v>
      </c>
      <c r="I102" s="7">
        <f>('Imputed Data'!I102-'Imputed Data'!I101)/'Imputed Data'!I101</f>
        <v>5.0558495002939415E-2</v>
      </c>
      <c r="J102" s="7">
        <f>('Imputed Data'!J102-'Imputed Data'!J101)/'Imputed Data'!J101</f>
        <v>1.6423357664233508E-2</v>
      </c>
      <c r="K102" s="7">
        <f>('Imputed Data'!K102-'Imputed Data'!K101)/'Imputed Data'!K101</f>
        <v>2.637057598889668E-2</v>
      </c>
      <c r="L102" s="7">
        <f>('Imputed Data'!L102-'Imputed Data'!L101)/'Imputed Data'!L101</f>
        <v>2.2881880024737275E-2</v>
      </c>
      <c r="M102" s="7">
        <f>('Imputed Data'!M102-'Imputed Data'!M101)/'Imputed Data'!M101</f>
        <v>1.503094606542885E-2</v>
      </c>
      <c r="N102" s="7">
        <f>('Imputed Data'!N102-'Imputed Data'!N101)/'Imputed Data'!N101</f>
        <v>2.6235509456985863E-2</v>
      </c>
      <c r="O102" s="7">
        <f>('Imputed Data'!O102-'Imputed Data'!O101)/'Imputed Data'!O101</f>
        <v>1.0786802030456961E-2</v>
      </c>
      <c r="P102" s="7">
        <f>('Imputed Data'!P102-'Imputed Data'!P101)/'Imputed Data'!P101</f>
        <v>8.8809946714031966E-3</v>
      </c>
      <c r="Q102" s="7">
        <f>('Imputed Data'!Q102-'Imputed Data'!Q101)/'Imputed Data'!Q101</f>
        <v>1.7088607594936637E-2</v>
      </c>
      <c r="R102" s="7">
        <f>('Imputed Data'!R102-'Imputed Data'!R101)/'Imputed Data'!R101</f>
        <v>1.6419491525423699E-2</v>
      </c>
      <c r="S102" s="7">
        <f>('Imputed Data'!S102-'Imputed Data'!S101)/'Imputed Data'!S101</f>
        <v>1.8891687657430729E-2</v>
      </c>
      <c r="T102" s="7">
        <f>('Imputed Data'!T102-'Imputed Data'!T101)/'Imputed Data'!T101</f>
        <v>2.4242424242424204E-2</v>
      </c>
      <c r="U102" s="7">
        <f>('Imputed Data'!U102-'Imputed Data'!U101)/'Imputed Data'!U101</f>
        <v>1.9707565162110578E-2</v>
      </c>
      <c r="V102" s="7">
        <f>('Imputed Data'!V102-'Imputed Data'!V101)/'Imputed Data'!V101</f>
        <v>1.2391573729862988E-3</v>
      </c>
      <c r="W102" s="7">
        <f>('Imputed Data'!W102-'Imputed Data'!W101)/'Imputed Data'!W101</f>
        <v>2.4421593830334265E-2</v>
      </c>
      <c r="X102" s="7">
        <f>('Imputed Data'!X102-'Imputed Data'!X101)/'Imputed Data'!X101</f>
        <v>1.9104084321475475E-2</v>
      </c>
      <c r="Y102" s="7">
        <f>('Imputed Data'!Y102-'Imputed Data'!Y101)/'Imputed Data'!Y101</f>
        <v>2.1565003080714726E-2</v>
      </c>
      <c r="Z102" s="7">
        <f>('Imputed Data'!Z102-'Imputed Data'!Z101)/'Imputed Data'!Z101</f>
        <v>1.568894952251031E-2</v>
      </c>
      <c r="AA102" s="7">
        <f>('Imputed Data'!AA102-'Imputed Data'!AA101)/'Imputed Data'!AA101</f>
        <v>1.6971279373368297E-2</v>
      </c>
      <c r="AB102" s="7">
        <f>('Imputed Data'!AB102-'Imputed Data'!AB101)/'Imputed Data'!AB101</f>
        <v>5.6144728633810183E-3</v>
      </c>
      <c r="AC102" s="7">
        <f>('Imputed Data'!AC102-'Imputed Data'!AC101)/'Imputed Data'!AC101</f>
        <v>2.0592020592020518E-2</v>
      </c>
      <c r="AD102" s="7">
        <f>('Imputed Data'!AD102-'Imputed Data'!AD101)/'Imputed Data'!AD101</f>
        <v>1.5544041450777238E-2</v>
      </c>
      <c r="AE102" s="7">
        <f>('Imputed Data'!AE102-'Imputed Data'!AE101)/'Imputed Data'!AE101</f>
        <v>1.6476552598225565E-2</v>
      </c>
    </row>
    <row r="103" spans="1:31" x14ac:dyDescent="0.25">
      <c r="A103" s="1">
        <f>'Imputed Data'!A103</f>
        <v>44348</v>
      </c>
      <c r="B103" s="1" t="str">
        <f>'Imputed Data'!B103</f>
        <v>Rural+Urban</v>
      </c>
      <c r="C103" s="2">
        <f>'Imputed Data'!C103</f>
        <v>2021</v>
      </c>
      <c r="D103" s="1" t="str">
        <f>'Imputed Data'!D103</f>
        <v>June</v>
      </c>
      <c r="E103" s="7">
        <f>('Imputed Data'!E103-'Imputed Data'!E102)/'Imputed Data'!E102</f>
        <v>2.7341079972657365E-3</v>
      </c>
      <c r="F103" s="7">
        <f>('Imputed Data'!F103-'Imputed Data'!F102)/'Imputed Data'!F102</f>
        <v>7.481296758104738E-3</v>
      </c>
      <c r="G103" s="7">
        <f>('Imputed Data'!G103-'Imputed Data'!G102)/'Imputed Data'!G102</f>
        <v>6.1068702290076202E-2</v>
      </c>
      <c r="H103" s="7">
        <f>('Imputed Data'!H103-'Imputed Data'!H102)/'Imputed Data'!H102</f>
        <v>6.4061499039073878E-4</v>
      </c>
      <c r="I103" s="7">
        <f>('Imputed Data'!I103-'Imputed Data'!I102)/'Imputed Data'!I102</f>
        <v>2.7979854504756579E-2</v>
      </c>
      <c r="J103" s="7">
        <f>('Imputed Data'!J103-'Imputed Data'!J102)/'Imputed Data'!J102</f>
        <v>-1.4961101137043686E-2</v>
      </c>
      <c r="K103" s="7">
        <f>('Imputed Data'!K103-'Imputed Data'!K102)/'Imputed Data'!K102</f>
        <v>5.0709939148073022E-2</v>
      </c>
      <c r="L103" s="7">
        <f>('Imputed Data'!L103-'Imputed Data'!L102)/'Imputed Data'!L102</f>
        <v>3.6275695284159267E-3</v>
      </c>
      <c r="M103" s="7">
        <f>('Imputed Data'!M103-'Imputed Data'!M102)/'Imputed Data'!M102</f>
        <v>2.6132404181184424E-3</v>
      </c>
      <c r="N103" s="7">
        <f>('Imputed Data'!N103-'Imputed Data'!N102)/'Imputed Data'!N102</f>
        <v>1.7835909631391878E-3</v>
      </c>
      <c r="O103" s="7">
        <f>('Imputed Data'!O103-'Imputed Data'!O102)/'Imputed Data'!O102</f>
        <v>4.394224733207712E-3</v>
      </c>
      <c r="P103" s="7">
        <f>('Imputed Data'!P103-'Imputed Data'!P102)/'Imputed Data'!P102</f>
        <v>1.1737089201877934E-2</v>
      </c>
      <c r="Q103" s="7">
        <f>('Imputed Data'!Q103-'Imputed Data'!Q102)/'Imputed Data'!Q102</f>
        <v>1.1823273179838244E-2</v>
      </c>
      <c r="R103" s="7">
        <f>('Imputed Data'!R103-'Imputed Data'!R102)/'Imputed Data'!R102</f>
        <v>-5.7321521625846496E-3</v>
      </c>
      <c r="S103" s="7">
        <f>('Imputed Data'!S103-'Imputed Data'!S102)/'Imputed Data'!S102</f>
        <v>2.4721878862792165E-3</v>
      </c>
      <c r="T103" s="7">
        <f>('Imputed Data'!T103-'Imputed Data'!T102)/'Imputed Data'!T102</f>
        <v>-1.9723865877710909E-3</v>
      </c>
      <c r="U103" s="7">
        <f>('Imputed Data'!U103-'Imputed Data'!U102)/'Imputed Data'!U102</f>
        <v>1.8703241895260782E-3</v>
      </c>
      <c r="V103" s="7">
        <f>('Imputed Data'!V103-'Imputed Data'!V102)/'Imputed Data'!V102</f>
        <v>-6.8069306930692722E-3</v>
      </c>
      <c r="W103" s="7">
        <f>('Imputed Data'!W103-'Imputed Data'!W102)/'Imputed Data'!W102</f>
        <v>2.5094102885822186E-3</v>
      </c>
      <c r="X103" s="7">
        <f>('Imputed Data'!X103-'Imputed Data'!X102)/'Imputed Data'!X102</f>
        <v>6.4641241111844047E-4</v>
      </c>
      <c r="Y103" s="7">
        <f>('Imputed Data'!Y103-'Imputed Data'!Y102)/'Imputed Data'!Y102</f>
        <v>3.0156815440289505E-3</v>
      </c>
      <c r="Z103" s="7">
        <f>('Imputed Data'!Z103-'Imputed Data'!Z102)/'Imputed Data'!Z102</f>
        <v>1.2088650100738636E-2</v>
      </c>
      <c r="AA103" s="7">
        <f>('Imputed Data'!AA103-'Imputed Data'!AA102)/'Imputed Data'!AA102</f>
        <v>-5.7766367137355949E-3</v>
      </c>
      <c r="AB103" s="7">
        <f>('Imputed Data'!AB103-'Imputed Data'!AB102)/'Imputed Data'!AB102</f>
        <v>3.1017369727047149E-3</v>
      </c>
      <c r="AC103" s="7">
        <f>('Imputed Data'!AC103-'Imputed Data'!AC102)/'Imputed Data'!AC102</f>
        <v>1.2610340479194014E-3</v>
      </c>
      <c r="AD103" s="7">
        <f>('Imputed Data'!AD103-'Imputed Data'!AD102)/'Imputed Data'!AD102</f>
        <v>5.1020408163264218E-3</v>
      </c>
      <c r="AE103" s="7">
        <f>('Imputed Data'!AE103-'Imputed Data'!AE102)/'Imputed Data'!AE102</f>
        <v>5.6109725685785893E-3</v>
      </c>
    </row>
    <row r="104" spans="1:31" x14ac:dyDescent="0.25">
      <c r="A104" s="1">
        <f>'Imputed Data'!A104</f>
        <v>44378</v>
      </c>
      <c r="B104" s="1" t="str">
        <f>'Imputed Data'!B104</f>
        <v>Rural+Urban</v>
      </c>
      <c r="C104" s="2">
        <f>'Imputed Data'!C104</f>
        <v>2021</v>
      </c>
      <c r="D104" s="1" t="str">
        <f>'Imputed Data'!D104</f>
        <v>July</v>
      </c>
      <c r="E104" s="7">
        <f>('Imputed Data'!E104-'Imputed Data'!E103)/'Imputed Data'!E103</f>
        <v>-2.0449897750510087E-3</v>
      </c>
      <c r="F104" s="7">
        <f>('Imputed Data'!F104-'Imputed Data'!F103)/'Imputed Data'!F103</f>
        <v>2.3762376237623818E-2</v>
      </c>
      <c r="G104" s="7">
        <f>('Imputed Data'!G104-'Imputed Data'!G103)/'Imputed Data'!G103</f>
        <v>8.3010514665190927E-3</v>
      </c>
      <c r="H104" s="7">
        <f>('Imputed Data'!H104-'Imputed Data'!H103)/'Imputed Data'!H103</f>
        <v>8.32266325224079E-3</v>
      </c>
      <c r="I104" s="7">
        <f>('Imputed Data'!I104-'Imputed Data'!I103)/'Imputed Data'!I103</f>
        <v>-8.7098530212302364E-3</v>
      </c>
      <c r="J104" s="7">
        <f>('Imputed Data'!J104-'Imputed Data'!J103)/'Imputed Data'!J103</f>
        <v>-4.2527339003644513E-3</v>
      </c>
      <c r="K104" s="7">
        <f>('Imputed Data'!K104-'Imputed Data'!K103)/'Imputed Data'!K103</f>
        <v>5.662805662805652E-2</v>
      </c>
      <c r="L104" s="7">
        <f>('Imputed Data'!L104-'Imputed Data'!L103)/'Imputed Data'!L103</f>
        <v>-1.2048192771084338E-2</v>
      </c>
      <c r="M104" s="7">
        <f>('Imputed Data'!M104-'Imputed Data'!M103)/'Imputed Data'!M103</f>
        <v>-5.2128583840138519E-3</v>
      </c>
      <c r="N104" s="7">
        <f>('Imputed Data'!N104-'Imputed Data'!N103)/'Imputed Data'!N103</f>
        <v>-1.1869436201779741E-3</v>
      </c>
      <c r="O104" s="7">
        <f>('Imputed Data'!O104-'Imputed Data'!O103)/'Imputed Data'!O103</f>
        <v>5.6250000000000354E-3</v>
      </c>
      <c r="P104" s="7">
        <f>('Imputed Data'!P104-'Imputed Data'!P103)/'Imputed Data'!P103</f>
        <v>-1.1600928074246928E-3</v>
      </c>
      <c r="Q104" s="7">
        <f>('Imputed Data'!Q104-'Imputed Data'!Q103)/'Imputed Data'!Q103</f>
        <v>8.6100861008610446E-3</v>
      </c>
      <c r="R104" s="7">
        <f>('Imputed Data'!R104-'Imputed Data'!R103)/'Imputed Data'!R103</f>
        <v>2.0964360587000905E-3</v>
      </c>
      <c r="S104" s="7">
        <f>('Imputed Data'!S104-'Imputed Data'!S103)/'Imputed Data'!S103</f>
        <v>3.6991368680642589E-3</v>
      </c>
      <c r="T104" s="7">
        <f>('Imputed Data'!T104-'Imputed Data'!T103)/'Imputed Data'!T103</f>
        <v>8.5638998682475813E-3</v>
      </c>
      <c r="U104" s="7">
        <f>('Imputed Data'!U104-'Imputed Data'!U103)/'Imputed Data'!U103</f>
        <v>4.3559427504668144E-3</v>
      </c>
      <c r="V104" s="7">
        <f>('Imputed Data'!V104-'Imputed Data'!V103)/'Imputed Data'!V103</f>
        <v>6.2305295950155761E-3</v>
      </c>
      <c r="W104" s="7">
        <f>('Imputed Data'!W104-'Imputed Data'!W103)/'Imputed Data'!W103</f>
        <v>5.6320400500624356E-3</v>
      </c>
      <c r="X104" s="7">
        <f>('Imputed Data'!X104-'Imputed Data'!X103)/'Imputed Data'!X103</f>
        <v>6.4599483204134363E-3</v>
      </c>
      <c r="Y104" s="7">
        <f>('Imputed Data'!Y104-'Imputed Data'!Y103)/'Imputed Data'!Y103</f>
        <v>4.2092603728201361E-3</v>
      </c>
      <c r="Z104" s="7">
        <f>('Imputed Data'!Z104-'Imputed Data'!Z103)/'Imputed Data'!Z103</f>
        <v>1.5925680159256841E-2</v>
      </c>
      <c r="AA104" s="7">
        <f>('Imputed Data'!AA104-'Imputed Data'!AA103)/'Imputed Data'!AA103</f>
        <v>2.5823111684958404E-3</v>
      </c>
      <c r="AB104" s="7">
        <f>('Imputed Data'!AB104-'Imputed Data'!AB103)/'Imputed Data'!AB103</f>
        <v>9.2764378478664197E-3</v>
      </c>
      <c r="AC104" s="7">
        <f>('Imputed Data'!AC104-'Imputed Data'!AC103)/'Imputed Data'!AC103</f>
        <v>8.1863979848865419E-3</v>
      </c>
      <c r="AD104" s="7">
        <f>('Imputed Data'!AD104-'Imputed Data'!AD103)/'Imputed Data'!AD103</f>
        <v>8.883248730964504E-3</v>
      </c>
      <c r="AE104" s="7">
        <f>('Imputed Data'!AE104-'Imputed Data'!AE103)/'Imputed Data'!AE103</f>
        <v>7.439553626782322E-3</v>
      </c>
    </row>
    <row r="105" spans="1:31" x14ac:dyDescent="0.25">
      <c r="A105" s="1">
        <f>'Imputed Data'!A105</f>
        <v>44409</v>
      </c>
      <c r="B105" s="1" t="str">
        <f>'Imputed Data'!B105</f>
        <v>Rural+Urban</v>
      </c>
      <c r="C105" s="2">
        <f>'Imputed Data'!C105</f>
        <v>2021</v>
      </c>
      <c r="D105" s="1" t="str">
        <f>'Imputed Data'!D105</f>
        <v>August</v>
      </c>
      <c r="E105" s="7">
        <f>('Imputed Data'!E105-'Imputed Data'!E104)/'Imputed Data'!E104</f>
        <v>1.3661202185791573E-3</v>
      </c>
      <c r="F105" s="7">
        <f>('Imputed Data'!F105-'Imputed Data'!F104)/'Imputed Data'!F104</f>
        <v>-1.3539651837524232E-2</v>
      </c>
      <c r="G105" s="7">
        <f>('Imputed Data'!G105-'Imputed Data'!G104)/'Imputed Data'!G104</f>
        <v>-5.1591657519209536E-2</v>
      </c>
      <c r="H105" s="7">
        <f>('Imputed Data'!H105-'Imputed Data'!H104)/'Imputed Data'!H104</f>
        <v>5.7142857142857507E-3</v>
      </c>
      <c r="I105" s="7">
        <f>('Imputed Data'!I105-'Imputed Data'!I104)/'Imputed Data'!I104</f>
        <v>3.2399780340472299E-2</v>
      </c>
      <c r="J105" s="7">
        <f>('Imputed Data'!J105-'Imputed Data'!J104)/'Imputed Data'!J104</f>
        <v>-4.3319097010372141E-2</v>
      </c>
      <c r="K105" s="7">
        <f>('Imputed Data'!K105-'Imputed Data'!K104)/'Imputed Data'!K104</f>
        <v>-1.2180267965895251E-2</v>
      </c>
      <c r="L105" s="7">
        <f>('Imputed Data'!L105-'Imputed Data'!L104)/'Imputed Data'!L104</f>
        <v>6.0975609756094091E-4</v>
      </c>
      <c r="M105" s="7">
        <f>('Imputed Data'!M105-'Imputed Data'!M104)/'Imputed Data'!M104</f>
        <v>4.5414847161572076E-2</v>
      </c>
      <c r="N105" s="7">
        <f>('Imputed Data'!N105-'Imputed Data'!N104)/'Imputed Data'!N104</f>
        <v>2.9708853238265003E-3</v>
      </c>
      <c r="O105" s="7">
        <f>('Imputed Data'!O105-'Imputed Data'!O104)/'Imputed Data'!O104</f>
        <v>1.1187072715972548E-2</v>
      </c>
      <c r="P105" s="7">
        <f>('Imputed Data'!P105-'Imputed Data'!P104)/'Imputed Data'!P104</f>
        <v>9.872241579558752E-3</v>
      </c>
      <c r="Q105" s="7">
        <f>('Imputed Data'!Q105-'Imputed Data'!Q104)/'Imputed Data'!Q104</f>
        <v>0</v>
      </c>
      <c r="R105" s="7">
        <f>('Imputed Data'!R105-'Imputed Data'!R104)/'Imputed Data'!R104</f>
        <v>4.7071129707113267E-3</v>
      </c>
      <c r="S105" s="7">
        <f>('Imputed Data'!S105-'Imputed Data'!S104)/'Imputed Data'!S104</f>
        <v>1.0442260442260373E-2</v>
      </c>
      <c r="T105" s="7">
        <f>('Imputed Data'!T105-'Imputed Data'!T104)/'Imputed Data'!T104</f>
        <v>1.4369693011103966E-2</v>
      </c>
      <c r="U105" s="7">
        <f>('Imputed Data'!U105-'Imputed Data'!U104)/'Imputed Data'!U104</f>
        <v>1.1152416356877217E-2</v>
      </c>
      <c r="V105" s="7">
        <f>('Imputed Data'!V105-'Imputed Data'!V104)/'Imputed Data'!V104</f>
        <v>3.7151702786377356E-3</v>
      </c>
      <c r="W105" s="7">
        <f>('Imputed Data'!W105-'Imputed Data'!W104)/'Imputed Data'!W104</f>
        <v>1.1823273179838244E-2</v>
      </c>
      <c r="X105" s="7">
        <f>('Imputed Data'!X105-'Imputed Data'!X104)/'Imputed Data'!X104</f>
        <v>1.0911424903722648E-2</v>
      </c>
      <c r="Y105" s="7">
        <f>('Imputed Data'!Y105-'Imputed Data'!Y104)/'Imputed Data'!Y104</f>
        <v>8.3832335329341659E-3</v>
      </c>
      <c r="Z105" s="7">
        <f>('Imputed Data'!Z105-'Imputed Data'!Z104)/'Imputed Data'!Z104</f>
        <v>5.8785107772697954E-3</v>
      </c>
      <c r="AA105" s="7">
        <f>('Imputed Data'!AA105-'Imputed Data'!AA104)/'Imputed Data'!AA104</f>
        <v>1.4810045074050114E-2</v>
      </c>
      <c r="AB105" s="7">
        <f>('Imputed Data'!AB105-'Imputed Data'!AB104)/'Imputed Data'!AB104</f>
        <v>3.6764705882354337E-3</v>
      </c>
      <c r="AC105" s="7">
        <f>('Imputed Data'!AC105-'Imputed Data'!AC104)/'Imputed Data'!AC104</f>
        <v>-6.2460961898809693E-4</v>
      </c>
      <c r="AD105" s="7">
        <f>('Imputed Data'!AD105-'Imputed Data'!AD104)/'Imputed Data'!AD104</f>
        <v>6.2893081761006293E-3</v>
      </c>
      <c r="AE105" s="7">
        <f>('Imputed Data'!AE105-'Imputed Data'!AE104)/'Imputed Data'!AE104</f>
        <v>4.3076923076922381E-3</v>
      </c>
    </row>
    <row r="106" spans="1:31" x14ac:dyDescent="0.25">
      <c r="A106" s="1">
        <f>'Imputed Data'!A106</f>
        <v>44440</v>
      </c>
      <c r="B106" s="1" t="str">
        <f>'Imputed Data'!B106</f>
        <v>Rural+Urban</v>
      </c>
      <c r="C106" s="2">
        <f>'Imputed Data'!C106</f>
        <v>2021</v>
      </c>
      <c r="D106" s="1" t="str">
        <f>'Imputed Data'!D106</f>
        <v>September</v>
      </c>
      <c r="E106" s="7">
        <f>('Imputed Data'!E106-'Imputed Data'!E105)/'Imputed Data'!E105</f>
        <v>0</v>
      </c>
      <c r="F106" s="7">
        <f>('Imputed Data'!F106-'Imputed Data'!F105)/'Imputed Data'!F105</f>
        <v>0</v>
      </c>
      <c r="G106" s="7">
        <f>('Imputed Data'!G106-'Imputed Data'!G105)/'Imputed Data'!G105</f>
        <v>0</v>
      </c>
      <c r="H106" s="7">
        <f>('Imputed Data'!H106-'Imputed Data'!H105)/'Imputed Data'!H105</f>
        <v>0</v>
      </c>
      <c r="I106" s="7">
        <f>('Imputed Data'!I106-'Imputed Data'!I105)/'Imputed Data'!I105</f>
        <v>0</v>
      </c>
      <c r="J106" s="7">
        <f>('Imputed Data'!J106-'Imputed Data'!J105)/'Imputed Data'!J105</f>
        <v>-6.3775510204096134E-4</v>
      </c>
      <c r="K106" s="7">
        <f>('Imputed Data'!K106-'Imputed Data'!K105)/'Imputed Data'!K105</f>
        <v>6.1652281134415992E-4</v>
      </c>
      <c r="L106" s="7">
        <f>('Imputed Data'!L106-'Imputed Data'!L105)/'Imputed Data'!L105</f>
        <v>0</v>
      </c>
      <c r="M106" s="7">
        <f>('Imputed Data'!M106-'Imputed Data'!M105)/'Imputed Data'!M105</f>
        <v>0</v>
      </c>
      <c r="N106" s="7">
        <f>('Imputed Data'!N106-'Imputed Data'!N105)/'Imputed Data'!N105</f>
        <v>0</v>
      </c>
      <c r="O106" s="7">
        <f>('Imputed Data'!O106-'Imputed Data'!O105)/'Imputed Data'!O105</f>
        <v>0</v>
      </c>
      <c r="P106" s="7">
        <f>('Imputed Data'!P106-'Imputed Data'!P105)/'Imputed Data'!P105</f>
        <v>0</v>
      </c>
      <c r="Q106" s="7">
        <f>('Imputed Data'!Q106-'Imputed Data'!Q105)/'Imputed Data'!Q105</f>
        <v>0</v>
      </c>
      <c r="R106" s="7">
        <f>('Imputed Data'!R106-'Imputed Data'!R105)/'Imputed Data'!R105</f>
        <v>0</v>
      </c>
      <c r="S106" s="7">
        <f>('Imputed Data'!S106-'Imputed Data'!S105)/'Imputed Data'!S105</f>
        <v>6.0790273556227549E-4</v>
      </c>
      <c r="T106" s="7">
        <f>('Imputed Data'!T106-'Imputed Data'!T105)/'Imputed Data'!T105</f>
        <v>0</v>
      </c>
      <c r="U106" s="7">
        <f>('Imputed Data'!U106-'Imputed Data'!U105)/'Imputed Data'!U105</f>
        <v>6.12745098039355E-4</v>
      </c>
      <c r="V106" s="7">
        <f>('Imputed Data'!V106-'Imputed Data'!V105)/'Imputed Data'!V105</f>
        <v>0</v>
      </c>
      <c r="W106" s="7">
        <f>('Imputed Data'!W106-'Imputed Data'!W105)/'Imputed Data'!W105</f>
        <v>0</v>
      </c>
      <c r="X106" s="7">
        <f>('Imputed Data'!X106-'Imputed Data'!X105)/'Imputed Data'!X105</f>
        <v>0</v>
      </c>
      <c r="Y106" s="7">
        <f>('Imputed Data'!Y106-'Imputed Data'!Y105)/'Imputed Data'!Y105</f>
        <v>0</v>
      </c>
      <c r="Z106" s="7">
        <f>('Imputed Data'!Z106-'Imputed Data'!Z105)/'Imputed Data'!Z105</f>
        <v>0</v>
      </c>
      <c r="AA106" s="7">
        <f>('Imputed Data'!AA106-'Imputed Data'!AA105)/'Imputed Data'!AA105</f>
        <v>6.3451776649742588E-4</v>
      </c>
      <c r="AB106" s="7">
        <f>('Imputed Data'!AB106-'Imputed Data'!AB105)/'Imputed Data'!AB105</f>
        <v>-6.1050061050074928E-4</v>
      </c>
      <c r="AC106" s="7">
        <f>('Imputed Data'!AC106-'Imputed Data'!AC105)/'Imputed Data'!AC105</f>
        <v>0</v>
      </c>
      <c r="AD106" s="7">
        <f>('Imputed Data'!AD106-'Imputed Data'!AD105)/'Imputed Data'!AD105</f>
        <v>0</v>
      </c>
      <c r="AE106" s="7">
        <f>('Imputed Data'!AE106-'Imputed Data'!AE105)/'Imputed Data'!AE105</f>
        <v>0</v>
      </c>
    </row>
    <row r="107" spans="1:31" x14ac:dyDescent="0.25">
      <c r="A107" s="1">
        <f>'Imputed Data'!A107</f>
        <v>44470</v>
      </c>
      <c r="B107" s="1" t="str">
        <f>'Imputed Data'!B107</f>
        <v>Rural+Urban</v>
      </c>
      <c r="C107" s="2">
        <f>'Imputed Data'!C107</f>
        <v>2021</v>
      </c>
      <c r="D107" s="1" t="str">
        <f>'Imputed Data'!D107</f>
        <v>October</v>
      </c>
      <c r="E107" s="7">
        <f>('Imputed Data'!E107-'Imputed Data'!E106)/'Imputed Data'!E106</f>
        <v>5.4570259208732022E-3</v>
      </c>
      <c r="F107" s="7">
        <f>('Imputed Data'!F107-'Imputed Data'!F106)/'Imputed Data'!F106</f>
        <v>2.9411764705882075E-3</v>
      </c>
      <c r="G107" s="7">
        <f>('Imputed Data'!G107-'Imputed Data'!G106)/'Imputed Data'!G106</f>
        <v>-9.2592592592593906E-3</v>
      </c>
      <c r="H107" s="7">
        <f>('Imputed Data'!H107-'Imputed Data'!H106)/'Imputed Data'!H106</f>
        <v>1.8939393939392862E-3</v>
      </c>
      <c r="I107" s="7">
        <f>('Imputed Data'!I107-'Imputed Data'!I106)/'Imputed Data'!I106</f>
        <v>1.3829787234042523E-2</v>
      </c>
      <c r="J107" s="7">
        <f>('Imputed Data'!J107-'Imputed Data'!J106)/'Imputed Data'!J106</f>
        <v>-6.3816209317166563E-3</v>
      </c>
      <c r="K107" s="7">
        <f>('Imputed Data'!K107-'Imputed Data'!K106)/'Imputed Data'!K106</f>
        <v>0.14171287738755389</v>
      </c>
      <c r="L107" s="7">
        <f>('Imputed Data'!L107-'Imputed Data'!L106)/'Imputed Data'!L106</f>
        <v>6.7032297379646215E-3</v>
      </c>
      <c r="M107" s="7">
        <f>('Imputed Data'!M107-'Imputed Data'!M106)/'Imputed Data'!M106</f>
        <v>1.8379281537176297E-2</v>
      </c>
      <c r="N107" s="7">
        <f>('Imputed Data'!N107-'Imputed Data'!N106)/'Imputed Data'!N106</f>
        <v>2.9620853080568718E-3</v>
      </c>
      <c r="O107" s="7">
        <f>('Imputed Data'!O107-'Imputed Data'!O106)/'Imputed Data'!O106</f>
        <v>3.0731407498463433E-3</v>
      </c>
      <c r="P107" s="7">
        <f>('Imputed Data'!P107-'Imputed Data'!P106)/'Imputed Data'!P106</f>
        <v>4.6003450258768428E-3</v>
      </c>
      <c r="Q107" s="7">
        <f>('Imputed Data'!Q107-'Imputed Data'!Q106)/'Imputed Data'!Q106</f>
        <v>2.2560975609756027E-2</v>
      </c>
      <c r="R107" s="7">
        <f>('Imputed Data'!R107-'Imputed Data'!R106)/'Imputed Data'!R106</f>
        <v>3.1233732431025212E-3</v>
      </c>
      <c r="S107" s="7">
        <f>('Imputed Data'!S107-'Imputed Data'!S106)/'Imputed Data'!S106</f>
        <v>6.6828675577156405E-3</v>
      </c>
      <c r="T107" s="7">
        <f>('Imputed Data'!T107-'Imputed Data'!T106)/'Imputed Data'!T106</f>
        <v>6.4391500321957498E-3</v>
      </c>
      <c r="U107" s="7">
        <f>('Imputed Data'!U107-'Imputed Data'!U106)/'Imputed Data'!U106</f>
        <v>6.1236987140232697E-3</v>
      </c>
      <c r="V107" s="7">
        <f>('Imputed Data'!V107-'Imputed Data'!V106)/'Imputed Data'!V106</f>
        <v>9.2535471930906849E-3</v>
      </c>
      <c r="W107" s="7">
        <f>('Imputed Data'!W107-'Imputed Data'!W106)/'Imputed Data'!W106</f>
        <v>9.8400984009839754E-3</v>
      </c>
      <c r="X107" s="7">
        <f>('Imputed Data'!X107-'Imputed Data'!X106)/'Imputed Data'!X106</f>
        <v>5.7142857142857507E-3</v>
      </c>
      <c r="Y107" s="7">
        <f>('Imputed Data'!Y107-'Imputed Data'!Y106)/'Imputed Data'!Y106</f>
        <v>4.1567695961994573E-3</v>
      </c>
      <c r="Z107" s="7">
        <f>('Imputed Data'!Z107-'Imputed Data'!Z106)/'Imputed Data'!Z106</f>
        <v>1.1038961038960965E-2</v>
      </c>
      <c r="AA107" s="7">
        <f>('Imputed Data'!AA107-'Imputed Data'!AA106)/'Imputed Data'!AA106</f>
        <v>5.7070386810399859E-3</v>
      </c>
      <c r="AB107" s="7">
        <f>('Imputed Data'!AB107-'Imputed Data'!AB106)/'Imputed Data'!AB106</f>
        <v>1.2217470983507458E-3</v>
      </c>
      <c r="AC107" s="7">
        <f>('Imputed Data'!AC107-'Imputed Data'!AC106)/'Imputed Data'!AC106</f>
        <v>5.0000000000000712E-3</v>
      </c>
      <c r="AD107" s="7">
        <f>('Imputed Data'!AD107-'Imputed Data'!AD106)/'Imputed Data'!AD106</f>
        <v>6.2500000000000003E-3</v>
      </c>
      <c r="AE107" s="7">
        <f>('Imputed Data'!AE107-'Imputed Data'!AE106)/'Imputed Data'!AE106</f>
        <v>1.4093137254902032E-2</v>
      </c>
    </row>
    <row r="108" spans="1:31" x14ac:dyDescent="0.25">
      <c r="A108" s="1">
        <f>'Imputed Data'!A108</f>
        <v>44501</v>
      </c>
      <c r="B108" s="1" t="str">
        <f>'Imputed Data'!B108</f>
        <v>Rural+Urban</v>
      </c>
      <c r="C108" s="2">
        <f>'Imputed Data'!C108</f>
        <v>2021</v>
      </c>
      <c r="D108" s="1" t="str">
        <f>'Imputed Data'!D108</f>
        <v>November</v>
      </c>
      <c r="E108" s="7">
        <f>('Imputed Data'!E108-'Imputed Data'!E107)/'Imputed Data'!E107</f>
        <v>5.4274084124829236E-3</v>
      </c>
      <c r="F108" s="7">
        <f>('Imputed Data'!F108-'Imputed Data'!F107)/'Imputed Data'!F107</f>
        <v>-1.466275659824047E-2</v>
      </c>
      <c r="G108" s="7">
        <f>('Imputed Data'!G108-'Imputed Data'!G107)/'Imputed Data'!G107</f>
        <v>1.0514018691588852E-2</v>
      </c>
      <c r="H108" s="7">
        <f>('Imputed Data'!H108-'Imputed Data'!H107)/'Imputed Data'!H107</f>
        <v>3.7807183364840756E-3</v>
      </c>
      <c r="I108" s="7">
        <f>('Imputed Data'!I108-'Imputed Data'!I107)/'Imputed Data'!I107</f>
        <v>-2.6232948583420779E-3</v>
      </c>
      <c r="J108" s="7">
        <f>('Imputed Data'!J108-'Imputed Data'!J107)/'Imputed Data'!J107</f>
        <v>5.1380860629416276E-3</v>
      </c>
      <c r="K108" s="7">
        <f>('Imputed Data'!K108-'Imputed Data'!K107)/'Imputed Data'!K107</f>
        <v>7.5013491635186058E-2</v>
      </c>
      <c r="L108" s="7">
        <f>('Imputed Data'!L108-'Imputed Data'!L107)/'Imputed Data'!L107</f>
        <v>6.0532687651345491E-4</v>
      </c>
      <c r="M108" s="7">
        <f>('Imputed Data'!M108-'Imputed Data'!M107)/'Imputed Data'!M107</f>
        <v>4.1017227235438884E-3</v>
      </c>
      <c r="N108" s="7">
        <f>('Imputed Data'!N108-'Imputed Data'!N107)/'Imputed Data'!N107</f>
        <v>1.772002362669716E-3</v>
      </c>
      <c r="O108" s="7">
        <f>('Imputed Data'!O108-'Imputed Data'!O107)/'Imputed Data'!O107</f>
        <v>3.0637254901960788E-3</v>
      </c>
      <c r="P108" s="7">
        <f>('Imputed Data'!P108-'Imputed Data'!P107)/'Imputed Data'!P107</f>
        <v>4.5792787635947994E-3</v>
      </c>
      <c r="Q108" s="7">
        <f>('Imputed Data'!Q108-'Imputed Data'!Q107)/'Imputed Data'!Q107</f>
        <v>1.1926058437686345E-2</v>
      </c>
      <c r="R108" s="7">
        <f>('Imputed Data'!R108-'Imputed Data'!R107)/'Imputed Data'!R107</f>
        <v>1.0378827192528131E-3</v>
      </c>
      <c r="S108" s="7">
        <f>('Imputed Data'!S108-'Imputed Data'!S107)/'Imputed Data'!S107</f>
        <v>9.0525045262522634E-3</v>
      </c>
      <c r="T108" s="7">
        <f>('Imputed Data'!T108-'Imputed Data'!T107)/'Imputed Data'!T107</f>
        <v>7.03774792066535E-3</v>
      </c>
      <c r="U108" s="7">
        <f>('Imputed Data'!U108-'Imputed Data'!U107)/'Imputed Data'!U107</f>
        <v>9.1296409007912346E-3</v>
      </c>
      <c r="V108" s="7">
        <f>('Imputed Data'!V108-'Imputed Data'!V107)/'Imputed Data'!V107</f>
        <v>3.6674816625916523E-3</v>
      </c>
      <c r="W108" s="7">
        <f>('Imputed Data'!W108-'Imputed Data'!W107)/'Imputed Data'!W107</f>
        <v>-1.8270401948841837E-3</v>
      </c>
      <c r="X108" s="7">
        <f>('Imputed Data'!X108-'Imputed Data'!X107)/'Imputed Data'!X107</f>
        <v>5.6818181818182175E-3</v>
      </c>
      <c r="Y108" s="7">
        <f>('Imputed Data'!Y108-'Imputed Data'!Y107)/'Imputed Data'!Y107</f>
        <v>4.730928444707341E-3</v>
      </c>
      <c r="Z108" s="7">
        <f>('Imputed Data'!Z108-'Imputed Data'!Z107)/'Imputed Data'!Z107</f>
        <v>-5.7803468208091026E-3</v>
      </c>
      <c r="AA108" s="7">
        <f>('Imputed Data'!AA108-'Imputed Data'!AA107)/'Imputed Data'!AA107</f>
        <v>7.5662042875158705E-3</v>
      </c>
      <c r="AB108" s="7">
        <f>('Imputed Data'!AB108-'Imputed Data'!AB107)/'Imputed Data'!AB107</f>
        <v>2.4405125076266362E-3</v>
      </c>
      <c r="AC108" s="7">
        <f>('Imputed Data'!AC108-'Imputed Data'!AC107)/'Imputed Data'!AC107</f>
        <v>8.7064676616914003E-3</v>
      </c>
      <c r="AD108" s="7">
        <f>('Imputed Data'!AD108-'Imputed Data'!AD107)/'Imputed Data'!AD107</f>
        <v>2.4844720496894762E-3</v>
      </c>
      <c r="AE108" s="7">
        <f>('Imputed Data'!AE108-'Imputed Data'!AE107)/'Imputed Data'!AE107</f>
        <v>7.2507552870089949E-3</v>
      </c>
    </row>
    <row r="109" spans="1:31" x14ac:dyDescent="0.25">
      <c r="A109" s="1">
        <f>'Imputed Data'!A109</f>
        <v>44531</v>
      </c>
      <c r="B109" s="1" t="str">
        <f>'Imputed Data'!B109</f>
        <v>Rural+Urban</v>
      </c>
      <c r="C109" s="2">
        <f>'Imputed Data'!C109</f>
        <v>2021</v>
      </c>
      <c r="D109" s="1" t="str">
        <f>'Imputed Data'!D109</f>
        <v>December</v>
      </c>
      <c r="E109" s="7">
        <f>('Imputed Data'!E109-'Imputed Data'!E108)/'Imputed Data'!E108</f>
        <v>3.3738191632928477E-3</v>
      </c>
      <c r="F109" s="7">
        <f>('Imputed Data'!F109-'Imputed Data'!F108)/'Imputed Data'!F108</f>
        <v>-1.3888888888888805E-2</v>
      </c>
      <c r="G109" s="7">
        <f>('Imputed Data'!G109-'Imputed Data'!G108)/'Imputed Data'!G108</f>
        <v>2.8323699421965352E-2</v>
      </c>
      <c r="H109" s="7">
        <f>('Imputed Data'!H109-'Imputed Data'!H108)/'Imputed Data'!H108</f>
        <v>3.766478342749493E-3</v>
      </c>
      <c r="I109" s="7">
        <f>('Imputed Data'!I109-'Imputed Data'!I108)/'Imputed Data'!I108</f>
        <v>-1.3150973172014729E-2</v>
      </c>
      <c r="J109" s="7">
        <f>('Imputed Data'!J109-'Imputed Data'!J108)/'Imputed Data'!J108</f>
        <v>-1.0223642172523926E-2</v>
      </c>
      <c r="K109" s="7">
        <f>('Imputed Data'!K109-'Imputed Data'!K108)/'Imputed Data'!K108</f>
        <v>-5.4718875502007921E-2</v>
      </c>
      <c r="L109" s="7">
        <f>('Imputed Data'!L109-'Imputed Data'!L108)/'Imputed Data'!L108</f>
        <v>-5.4446460980036634E-3</v>
      </c>
      <c r="M109" s="7">
        <f>('Imputed Data'!M109-'Imputed Data'!M108)/'Imputed Data'!M108</f>
        <v>-1.1437908496732072E-2</v>
      </c>
      <c r="N109" s="7">
        <f>('Imputed Data'!N109-'Imputed Data'!N108)/'Imputed Data'!N108</f>
        <v>5.3066037735849392E-3</v>
      </c>
      <c r="O109" s="7">
        <f>('Imputed Data'!O109-'Imputed Data'!O108)/'Imputed Data'!O108</f>
        <v>3.0543677458766036E-3</v>
      </c>
      <c r="P109" s="7">
        <f>('Imputed Data'!P109-'Imputed Data'!P108)/'Imputed Data'!P108</f>
        <v>5.6980056980056983E-3</v>
      </c>
      <c r="Q109" s="7">
        <f>('Imputed Data'!Q109-'Imputed Data'!Q108)/'Imputed Data'!Q108</f>
        <v>-8.8391278727165592E-3</v>
      </c>
      <c r="R109" s="7">
        <f>('Imputed Data'!R109-'Imputed Data'!R108)/'Imputed Data'!R108</f>
        <v>-2.592016588906169E-3</v>
      </c>
      <c r="S109" s="7">
        <f>('Imputed Data'!S109-'Imputed Data'!S108)/'Imputed Data'!S108</f>
        <v>7.7751196172249487E-3</v>
      </c>
      <c r="T109" s="7">
        <f>('Imputed Data'!T109-'Imputed Data'!T108)/'Imputed Data'!T108</f>
        <v>8.2592121982209849E-3</v>
      </c>
      <c r="U109" s="7">
        <f>('Imputed Data'!U109-'Imputed Data'!U108)/'Imputed Data'!U108</f>
        <v>7.2376357056694119E-3</v>
      </c>
      <c r="V109" s="7">
        <f>('Imputed Data'!V109-'Imputed Data'!V108)/'Imputed Data'!V108</f>
        <v>-4.8721071863579964E-3</v>
      </c>
      <c r="W109" s="7">
        <f>('Imputed Data'!W109-'Imputed Data'!W108)/'Imputed Data'!W108</f>
        <v>1.2202562538132314E-3</v>
      </c>
      <c r="X109" s="7">
        <f>('Imputed Data'!X109-'Imputed Data'!X108)/'Imputed Data'!X108</f>
        <v>5.6497175141241507E-3</v>
      </c>
      <c r="Y109" s="7">
        <f>('Imputed Data'!Y109-'Imputed Data'!Y108)/'Imputed Data'!Y108</f>
        <v>4.1200706297821578E-3</v>
      </c>
      <c r="Z109" s="7">
        <f>('Imputed Data'!Z109-'Imputed Data'!Z108)/'Imputed Data'!Z108</f>
        <v>5.8139534883719455E-3</v>
      </c>
      <c r="AA109" s="7">
        <f>('Imputed Data'!AA109-'Imputed Data'!AA108)/'Imputed Data'!AA108</f>
        <v>5.0062578222777399E-3</v>
      </c>
      <c r="AB109" s="7">
        <f>('Imputed Data'!AB109-'Imputed Data'!AB108)/'Imputed Data'!AB108</f>
        <v>6.0864272671938102E-4</v>
      </c>
      <c r="AC109" s="7">
        <f>('Imputed Data'!AC109-'Imputed Data'!AC108)/'Imputed Data'!AC108</f>
        <v>2.4660912453761141E-3</v>
      </c>
      <c r="AD109" s="7">
        <f>('Imputed Data'!AD109-'Imputed Data'!AD108)/'Imputed Data'!AD108</f>
        <v>3.7174721189590725E-3</v>
      </c>
      <c r="AE109" s="7">
        <f>('Imputed Data'!AE109-'Imputed Data'!AE108)/'Imputed Data'!AE108</f>
        <v>-2.999400119976005E-3</v>
      </c>
    </row>
    <row r="110" spans="1:31" x14ac:dyDescent="0.25">
      <c r="A110" s="1">
        <f>'Imputed Data'!A110</f>
        <v>44562</v>
      </c>
      <c r="B110" s="1" t="str">
        <f>'Imputed Data'!B110</f>
        <v>Rural+Urban</v>
      </c>
      <c r="C110" s="2">
        <f>'Imputed Data'!C110</f>
        <v>2022</v>
      </c>
      <c r="D110" s="1" t="str">
        <f>'Imputed Data'!D110</f>
        <v>January</v>
      </c>
      <c r="E110" s="7">
        <f>('Imputed Data'!E110-'Imputed Data'!E109)/'Imputed Data'!E109</f>
        <v>5.3799596503026998E-3</v>
      </c>
      <c r="F110" s="7">
        <f>('Imputed Data'!F110-'Imputed Data'!F109)/'Imputed Data'!F109</f>
        <v>-5.0301810865202579E-4</v>
      </c>
      <c r="G110" s="7">
        <f>('Imputed Data'!G110-'Imputed Data'!G109)/'Imputed Data'!G109</f>
        <v>5.0590219224283623E-3</v>
      </c>
      <c r="H110" s="7">
        <f>('Imputed Data'!H110-'Imputed Data'!H109)/'Imputed Data'!H109</f>
        <v>3.7523452157598143E-3</v>
      </c>
      <c r="I110" s="7">
        <f>('Imputed Data'!I110-'Imputed Data'!I109)/'Imputed Data'!I109</f>
        <v>-1.5458422174840116E-2</v>
      </c>
      <c r="J110" s="7">
        <f>('Imputed Data'!J110-'Imputed Data'!J109)/'Imputed Data'!J109</f>
        <v>-7.7469335054875209E-3</v>
      </c>
      <c r="K110" s="7">
        <f>('Imputed Data'!K110-'Imputed Data'!K109)/'Imputed Data'!K109</f>
        <v>-7.4349442379182146E-2</v>
      </c>
      <c r="L110" s="7">
        <f>('Imputed Data'!L110-'Imputed Data'!L109)/'Imputed Data'!L109</f>
        <v>-3.0413625304136251E-3</v>
      </c>
      <c r="M110" s="7">
        <f>('Imputed Data'!M110-'Imputed Data'!M109)/'Imputed Data'!M109</f>
        <v>-8.2644628099173556E-3</v>
      </c>
      <c r="N110" s="7">
        <f>('Imputed Data'!N110-'Imputed Data'!N109)/'Imputed Data'!N109</f>
        <v>9.3841642228738673E-3</v>
      </c>
      <c r="O110" s="7">
        <f>('Imputed Data'!O110-'Imputed Data'!O109)/'Imputed Data'!O109</f>
        <v>6.0901339829490101E-4</v>
      </c>
      <c r="P110" s="7">
        <f>('Imputed Data'!P110-'Imputed Data'!P109)/'Imputed Data'!P109</f>
        <v>4.5325779036827843E-3</v>
      </c>
      <c r="Q110" s="7">
        <f>('Imputed Data'!Q110-'Imputed Data'!Q109)/'Imputed Data'!Q109</f>
        <v>-1.070154577883462E-2</v>
      </c>
      <c r="R110" s="7">
        <f>('Imputed Data'!R110-'Imputed Data'!R109)/'Imputed Data'!R109</f>
        <v>-1.039501039501128E-3</v>
      </c>
      <c r="S110" s="7">
        <f>('Imputed Data'!S110-'Imputed Data'!S109)/'Imputed Data'!S109</f>
        <v>8.3086053412463248E-3</v>
      </c>
      <c r="T110" s="7">
        <f>('Imputed Data'!T110-'Imputed Data'!T109)/'Imputed Data'!T109</f>
        <v>1.2602394454946441E-2</v>
      </c>
      <c r="U110" s="7">
        <f>('Imputed Data'!U110-'Imputed Data'!U109)/'Imputed Data'!U109</f>
        <v>8.9820359281437123E-3</v>
      </c>
      <c r="V110" s="7">
        <f>('Imputed Data'!V110-'Imputed Data'!V109)/'Imputed Data'!V109</f>
        <v>6.7319461444308093E-3</v>
      </c>
      <c r="W110" s="7">
        <f>('Imputed Data'!W110-'Imputed Data'!W109)/'Imputed Data'!W109</f>
        <v>6.0938452163311586E-4</v>
      </c>
      <c r="X110" s="7">
        <f>('Imputed Data'!X110-'Imputed Data'!X109)/'Imputed Data'!X109</f>
        <v>5.6179775280899239E-3</v>
      </c>
      <c r="Y110" s="7">
        <f>('Imputed Data'!Y110-'Imputed Data'!Y109)/'Imputed Data'!Y109</f>
        <v>4.6893317702228097E-3</v>
      </c>
      <c r="Z110" s="7">
        <f>('Imputed Data'!Z110-'Imputed Data'!Z109)/'Imputed Data'!Z109</f>
        <v>5.1380860629416276E-3</v>
      </c>
      <c r="AA110" s="7">
        <f>('Imputed Data'!AA110-'Imputed Data'!AA109)/'Imputed Data'!AA109</f>
        <v>3.735990037359865E-3</v>
      </c>
      <c r="AB110" s="7">
        <f>('Imputed Data'!AB110-'Imputed Data'!AB109)/'Imputed Data'!AB109</f>
        <v>1.8248175182480715E-3</v>
      </c>
      <c r="AC110" s="7">
        <f>('Imputed Data'!AC110-'Imputed Data'!AC109)/'Imputed Data'!AC109</f>
        <v>2.4600246002460377E-3</v>
      </c>
      <c r="AD110" s="7">
        <f>('Imputed Data'!AD110-'Imputed Data'!AD109)/'Imputed Data'!AD109</f>
        <v>4.3209876543209179E-3</v>
      </c>
      <c r="AE110" s="7">
        <f>('Imputed Data'!AE110-'Imputed Data'!AE109)/'Imputed Data'!AE109</f>
        <v>-3.0084235860409147E-3</v>
      </c>
    </row>
    <row r="111" spans="1:31" x14ac:dyDescent="0.25">
      <c r="A111" s="1">
        <f>'Imputed Data'!A111</f>
        <v>44593</v>
      </c>
      <c r="B111" s="1" t="str">
        <f>'Imputed Data'!B111</f>
        <v>Rural+Urban</v>
      </c>
      <c r="C111" s="2">
        <f>'Imputed Data'!C111</f>
        <v>2022</v>
      </c>
      <c r="D111" s="1" t="str">
        <f>'Imputed Data'!D111</f>
        <v>February</v>
      </c>
      <c r="E111" s="7">
        <f>('Imputed Data'!E111-'Imputed Data'!E110)/'Imputed Data'!E110</f>
        <v>3.3444816053511705E-3</v>
      </c>
      <c r="F111" s="7">
        <f>('Imputed Data'!F111-'Imputed Data'!F110)/'Imputed Data'!F110</f>
        <v>9.5621540010065714E-3</v>
      </c>
      <c r="G111" s="7">
        <f>('Imputed Data'!G111-'Imputed Data'!G110)/'Imputed Data'!G110</f>
        <v>-1.6778523489932886E-2</v>
      </c>
      <c r="H111" s="7">
        <f>('Imputed Data'!H111-'Imputed Data'!H110)/'Imputed Data'!H110</f>
        <v>1.2461059190030444E-3</v>
      </c>
      <c r="I111" s="7">
        <f>('Imputed Data'!I111-'Imputed Data'!I110)/'Imputed Data'!I110</f>
        <v>1.0828370330266219E-3</v>
      </c>
      <c r="J111" s="7">
        <f>('Imputed Data'!J111-'Imputed Data'!J110)/'Imputed Data'!J110</f>
        <v>0</v>
      </c>
      <c r="K111" s="7">
        <f>('Imputed Data'!K111-'Imputed Data'!K110)/'Imputed Data'!K110</f>
        <v>-2.6391279403327726E-2</v>
      </c>
      <c r="L111" s="7">
        <f>('Imputed Data'!L111-'Imputed Data'!L110)/'Imputed Data'!L110</f>
        <v>-1.2202562538134048E-3</v>
      </c>
      <c r="M111" s="7">
        <f>('Imputed Data'!M111-'Imputed Data'!M110)/'Imputed Data'!M110</f>
        <v>-9.1666666666666199E-3</v>
      </c>
      <c r="N111" s="7">
        <f>('Imputed Data'!N111-'Imputed Data'!N110)/'Imputed Data'!N110</f>
        <v>1.2783265543288885E-2</v>
      </c>
      <c r="O111" s="7">
        <f>('Imputed Data'!O111-'Imputed Data'!O110)/'Imputed Data'!O110</f>
        <v>2.4345709068775241E-3</v>
      </c>
      <c r="P111" s="7">
        <f>('Imputed Data'!P111-'Imputed Data'!P110)/'Imputed Data'!P110</f>
        <v>3.948110547095254E-3</v>
      </c>
      <c r="Q111" s="7">
        <f>('Imputed Data'!Q111-'Imputed Data'!Q110)/'Imputed Data'!Q110</f>
        <v>-1.2019230769231793E-3</v>
      </c>
      <c r="R111" s="7">
        <f>('Imputed Data'!R111-'Imputed Data'!R110)/'Imputed Data'!R110</f>
        <v>3.1217481789803476E-3</v>
      </c>
      <c r="S111" s="7">
        <f>('Imputed Data'!S111-'Imputed Data'!S110)/'Imputed Data'!S110</f>
        <v>5.297233666862894E-3</v>
      </c>
      <c r="T111" s="7">
        <f>('Imputed Data'!T111-'Imputed Data'!T110)/'Imputed Data'!T110</f>
        <v>1.0578718108276397E-2</v>
      </c>
      <c r="U111" s="7">
        <f>('Imputed Data'!U111-'Imputed Data'!U110)/'Imputed Data'!U110</f>
        <v>6.5281899109791951E-3</v>
      </c>
      <c r="V111" s="7">
        <f>('Imputed Data'!V111-'Imputed Data'!V110)/'Imputed Data'!V110</f>
        <v>6.0790273556231003E-3</v>
      </c>
      <c r="W111" s="7">
        <f>('Imputed Data'!W111-'Imputed Data'!W110)/'Imputed Data'!W110</f>
        <v>9.1352009744214372E-3</v>
      </c>
      <c r="X111" s="7">
        <f>('Imputed Data'!X111-'Imputed Data'!X110)/'Imputed Data'!X110</f>
        <v>4.3451272501552896E-3</v>
      </c>
      <c r="Y111" s="7">
        <f>('Imputed Data'!Y111-'Imputed Data'!Y110)/'Imputed Data'!Y110</f>
        <v>4.6674445740955833E-3</v>
      </c>
      <c r="Z111" s="7">
        <f>('Imputed Data'!Z111-'Imputed Data'!Z110)/'Imputed Data'!Z110</f>
        <v>2.5559105431310269E-3</v>
      </c>
      <c r="AA111" s="7">
        <f>('Imputed Data'!AA111-'Imputed Data'!AA110)/'Imputed Data'!AA110</f>
        <v>5.5831265508685217E-3</v>
      </c>
      <c r="AB111" s="7">
        <f>('Imputed Data'!AB111-'Imputed Data'!AB110)/'Imputed Data'!AB110</f>
        <v>4.2501517911355015E-3</v>
      </c>
      <c r="AC111" s="7">
        <f>('Imputed Data'!AC111-'Imputed Data'!AC110)/'Imputed Data'!AC110</f>
        <v>8.5889570552147593E-3</v>
      </c>
      <c r="AD111" s="7">
        <f>('Imputed Data'!AD111-'Imputed Data'!AD110)/'Imputed Data'!AD110</f>
        <v>4.9170251997542186E-3</v>
      </c>
      <c r="AE111" s="7">
        <f>('Imputed Data'!AE111-'Imputed Data'!AE110)/'Imputed Data'!AE110</f>
        <v>2.4140012070006378E-3</v>
      </c>
    </row>
    <row r="112" spans="1:31" x14ac:dyDescent="0.25">
      <c r="A112" s="1">
        <f>'Imputed Data'!A112</f>
        <v>44621</v>
      </c>
      <c r="B112" s="1" t="str">
        <f>'Imputed Data'!B112</f>
        <v>Rural+Urban</v>
      </c>
      <c r="C112" s="2">
        <f>'Imputed Data'!C112</f>
        <v>2022</v>
      </c>
      <c r="D112" s="1" t="str">
        <f>'Imputed Data'!D112</f>
        <v>March</v>
      </c>
      <c r="E112" s="7">
        <f>('Imputed Data'!E112-'Imputed Data'!E111)/'Imputed Data'!E111</f>
        <v>8.6666666666667426E-3</v>
      </c>
      <c r="F112" s="7">
        <f>('Imputed Data'!F112-'Imputed Data'!F111)/'Imputed Data'!F111</f>
        <v>5.0348953140578238E-2</v>
      </c>
      <c r="G112" s="7">
        <f>('Imputed Data'!G112-'Imputed Data'!G111)/'Imputed Data'!G111</f>
        <v>-4.5506257110352673E-2</v>
      </c>
      <c r="H112" s="7">
        <f>('Imputed Data'!H112-'Imputed Data'!H111)/'Imputed Data'!H111</f>
        <v>9.3341630367143758E-3</v>
      </c>
      <c r="I112" s="7">
        <f>('Imputed Data'!I112-'Imputed Data'!I111)/'Imputed Data'!I111</f>
        <v>5.2460789616008592E-2</v>
      </c>
      <c r="J112" s="7">
        <f>('Imputed Data'!J112-'Imputed Data'!J111)/'Imputed Data'!J111</f>
        <v>2.5374105400130163E-2</v>
      </c>
      <c r="K112" s="7">
        <f>('Imputed Data'!K112-'Imputed Data'!K111)/'Imputed Data'!K111</f>
        <v>-1.6499705362404145E-2</v>
      </c>
      <c r="L112" s="7">
        <f>('Imputed Data'!L112-'Imputed Data'!L111)/'Imputed Data'!L111</f>
        <v>1.2217470983507458E-3</v>
      </c>
      <c r="M112" s="7">
        <f>('Imputed Data'!M112-'Imputed Data'!M111)/'Imputed Data'!M111</f>
        <v>-8.4104289318762419E-4</v>
      </c>
      <c r="N112" s="7">
        <f>('Imputed Data'!N112-'Imputed Data'!N111)/'Imputed Data'!N111</f>
        <v>1.7785427423981606E-2</v>
      </c>
      <c r="O112" s="7">
        <f>('Imputed Data'!O112-'Imputed Data'!O111)/'Imputed Data'!O111</f>
        <v>3.6429872495447649E-3</v>
      </c>
      <c r="P112" s="7">
        <f>('Imputed Data'!P112-'Imputed Data'!P111)/'Imputed Data'!P111</f>
        <v>7.3033707865169176E-3</v>
      </c>
      <c r="Q112" s="7">
        <f>('Imputed Data'!Q112-'Imputed Data'!Q111)/'Imputed Data'!Q111</f>
        <v>1.3237063778580128E-2</v>
      </c>
      <c r="R112" s="7">
        <f>('Imputed Data'!R112-'Imputed Data'!R111)/'Imputed Data'!R111</f>
        <v>4.6680497925310023E-3</v>
      </c>
      <c r="S112" s="7">
        <f>('Imputed Data'!S112-'Imputed Data'!S111)/'Imputed Data'!S111</f>
        <v>7.6112412177984949E-3</v>
      </c>
      <c r="T112" s="7">
        <f>('Imputed Data'!T112-'Imputed Data'!T111)/'Imputed Data'!T111</f>
        <v>1.354679802955658E-2</v>
      </c>
      <c r="U112" s="7">
        <f>('Imputed Data'!U112-'Imputed Data'!U111)/'Imputed Data'!U111</f>
        <v>8.8443396226415092E-3</v>
      </c>
      <c r="V112" s="7">
        <f>('Imputed Data'!V112-'Imputed Data'!V111)/'Imputed Data'!V111</f>
        <v>-1.2084592145014418E-3</v>
      </c>
      <c r="W112" s="7">
        <f>('Imputed Data'!W112-'Imputed Data'!W111)/'Imputed Data'!W111</f>
        <v>9.0525045262522634E-3</v>
      </c>
      <c r="X112" s="7">
        <f>('Imputed Data'!X112-'Imputed Data'!X111)/'Imputed Data'!X111</f>
        <v>6.180469715698393E-3</v>
      </c>
      <c r="Y112" s="7">
        <f>('Imputed Data'!Y112-'Imputed Data'!Y111)/'Imputed Data'!Y111</f>
        <v>4.6457607433217848E-3</v>
      </c>
      <c r="Z112" s="7">
        <f>('Imputed Data'!Z112-'Imputed Data'!Z111)/'Imputed Data'!Z111</f>
        <v>6.3734862970044612E-3</v>
      </c>
      <c r="AA112" s="7">
        <f>('Imputed Data'!AA112-'Imputed Data'!AA111)/'Imputed Data'!AA111</f>
        <v>7.4028377544726534E-3</v>
      </c>
      <c r="AB112" s="7">
        <f>('Imputed Data'!AB112-'Imputed Data'!AB111)/'Imputed Data'!AB111</f>
        <v>3.6275695284159267E-3</v>
      </c>
      <c r="AC112" s="7">
        <f>('Imputed Data'!AC112-'Imputed Data'!AC111)/'Imputed Data'!AC111</f>
        <v>1.7031630170316198E-2</v>
      </c>
      <c r="AD112" s="7">
        <f>('Imputed Data'!AD112-'Imputed Data'!AD111)/'Imputed Data'!AD111</f>
        <v>6.7278287461773351E-3</v>
      </c>
      <c r="AE112" s="7">
        <f>('Imputed Data'!AE112-'Imputed Data'!AE111)/'Imputed Data'!AE111</f>
        <v>9.6327513546056245E-3</v>
      </c>
    </row>
    <row r="113" spans="1:31" x14ac:dyDescent="0.25">
      <c r="A113" s="1">
        <f>'Imputed Data'!A113</f>
        <v>44652</v>
      </c>
      <c r="B113" s="1" t="str">
        <f>'Imputed Data'!B113</f>
        <v>Rural+Urban</v>
      </c>
      <c r="C113" s="2">
        <f>'Imputed Data'!C113</f>
        <v>2022</v>
      </c>
      <c r="D113" s="1" t="str">
        <f>'Imputed Data'!D113</f>
        <v>April</v>
      </c>
      <c r="E113" s="7">
        <f>('Imputed Data'!E113-'Imputed Data'!E112)/'Imputed Data'!E112</f>
        <v>1.0575016523463279E-2</v>
      </c>
      <c r="F113" s="7">
        <f>('Imputed Data'!F113-'Imputed Data'!F112)/'Imputed Data'!F112</f>
        <v>5.2206929283342323E-3</v>
      </c>
      <c r="G113" s="7">
        <f>('Imputed Data'!G113-'Imputed Data'!G112)/'Imputed Data'!G112</f>
        <v>-1.9666269368295658E-2</v>
      </c>
      <c r="H113" s="7">
        <f>('Imputed Data'!H113-'Imputed Data'!H112)/'Imputed Data'!H112</f>
        <v>1.0480887792848441E-2</v>
      </c>
      <c r="I113" s="7">
        <f>('Imputed Data'!I113-'Imputed Data'!I112)/'Imputed Data'!I112</f>
        <v>2.5179856115107944E-2</v>
      </c>
      <c r="J113" s="7">
        <f>('Imputed Data'!J113-'Imputed Data'!J112)/'Imputed Data'!J112</f>
        <v>9.5177664974619297E-2</v>
      </c>
      <c r="K113" s="7">
        <f>('Imputed Data'!K113-'Imputed Data'!K112)/'Imputed Data'!K112</f>
        <v>-4.1941282204914143E-3</v>
      </c>
      <c r="L113" s="7">
        <f>('Imputed Data'!L113-'Imputed Data'!L112)/'Imputed Data'!L112</f>
        <v>4.8810250152530989E-3</v>
      </c>
      <c r="M113" s="7">
        <f>('Imputed Data'!M113-'Imputed Data'!M112)/'Imputed Data'!M112</f>
        <v>1.6835016835017075E-3</v>
      </c>
      <c r="N113" s="7">
        <f>('Imputed Data'!N113-'Imputed Data'!N112)/'Imputed Data'!N112</f>
        <v>2.1984216459977484E-2</v>
      </c>
      <c r="O113" s="7">
        <f>('Imputed Data'!O113-'Imputed Data'!O112)/'Imputed Data'!O112</f>
        <v>5.4446460980034916E-3</v>
      </c>
      <c r="P113" s="7">
        <f>('Imputed Data'!P113-'Imputed Data'!P112)/'Imputed Data'!P112</f>
        <v>8.9235917456776028E-3</v>
      </c>
      <c r="Q113" s="7">
        <f>('Imputed Data'!Q113-'Imputed Data'!Q112)/'Imputed Data'!Q112</f>
        <v>1.4251781472684119E-2</v>
      </c>
      <c r="R113" s="7">
        <f>('Imputed Data'!R113-'Imputed Data'!R112)/'Imputed Data'!R112</f>
        <v>1.0325245224574965E-3</v>
      </c>
      <c r="S113" s="7">
        <f>('Imputed Data'!S113-'Imputed Data'!S112)/'Imputed Data'!S112</f>
        <v>1.0459035444509072E-2</v>
      </c>
      <c r="T113" s="7">
        <f>('Imputed Data'!T113-'Imputed Data'!T112)/'Imputed Data'!T112</f>
        <v>1.1543134872418018E-2</v>
      </c>
      <c r="U113" s="7">
        <f>('Imputed Data'!U113-'Imputed Data'!U112)/'Imputed Data'!U112</f>
        <v>9.9357101110462715E-3</v>
      </c>
      <c r="V113" s="7">
        <f>('Imputed Data'!V113-'Imputed Data'!V112)/'Imputed Data'!V112</f>
        <v>1.0284331518451231E-2</v>
      </c>
      <c r="W113" s="7">
        <f>('Imputed Data'!W113-'Imputed Data'!W112)/'Imputed Data'!W112</f>
        <v>2.9904306220095697E-2</v>
      </c>
      <c r="X113" s="7">
        <f>('Imputed Data'!X113-'Imputed Data'!X112)/'Imputed Data'!X112</f>
        <v>7.371007371007301E-3</v>
      </c>
      <c r="Y113" s="7">
        <f>('Imputed Data'!Y113-'Imputed Data'!Y112)/'Imputed Data'!Y112</f>
        <v>5.7803468208092483E-3</v>
      </c>
      <c r="Z113" s="7">
        <f>('Imputed Data'!Z113-'Imputed Data'!Z112)/'Imputed Data'!Z112</f>
        <v>2.9765674477517344E-2</v>
      </c>
      <c r="AA113" s="7">
        <f>('Imputed Data'!AA113-'Imputed Data'!AA112)/'Imputed Data'!AA112</f>
        <v>6.7360685854255618E-3</v>
      </c>
      <c r="AB113" s="7">
        <f>('Imputed Data'!AB113-'Imputed Data'!AB112)/'Imputed Data'!AB112</f>
        <v>5.4216867469879864E-3</v>
      </c>
      <c r="AC113" s="7">
        <f>('Imputed Data'!AC113-'Imputed Data'!AC112)/'Imputed Data'!AC112</f>
        <v>9.5693779904307587E-3</v>
      </c>
      <c r="AD113" s="7">
        <f>('Imputed Data'!AD113-'Imputed Data'!AD112)/'Imputed Data'!AD112</f>
        <v>1.3365735115431453E-2</v>
      </c>
      <c r="AE113" s="7">
        <f>('Imputed Data'!AE113-'Imputed Data'!AE112)/'Imputed Data'!AE112</f>
        <v>1.4311270125223648E-2</v>
      </c>
    </row>
    <row r="114" spans="1:31" x14ac:dyDescent="0.25">
      <c r="A114" s="1">
        <f>'Imputed Data'!A114</f>
        <v>44682</v>
      </c>
      <c r="B114" s="1" t="str">
        <f>'Imputed Data'!B114</f>
        <v>Rural+Urban</v>
      </c>
      <c r="C114" s="2">
        <f>'Imputed Data'!C114</f>
        <v>2022</v>
      </c>
      <c r="D114" s="1" t="str">
        <f>'Imputed Data'!D114</f>
        <v>May</v>
      </c>
      <c r="E114" s="7">
        <f>('Imputed Data'!E114-'Imputed Data'!E113)/'Imputed Data'!E113</f>
        <v>7.848266841072522E-3</v>
      </c>
      <c r="F114" s="7">
        <f>('Imputed Data'!F114-'Imputed Data'!F113)/'Imputed Data'!F113</f>
        <v>2.4551463644948011E-2</v>
      </c>
      <c r="G114" s="7">
        <f>('Imputed Data'!G114-'Imputed Data'!G113)/'Imputed Data'!G113</f>
        <v>-1.2765957446808475E-2</v>
      </c>
      <c r="H114" s="7">
        <f>('Imputed Data'!H114-'Imputed Data'!H113)/'Imputed Data'!H113</f>
        <v>6.1012812690665035E-3</v>
      </c>
      <c r="I114" s="7">
        <f>('Imputed Data'!I114-'Imputed Data'!I113)/'Imputed Data'!I113</f>
        <v>1.4536340852130354E-2</v>
      </c>
      <c r="J114" s="7">
        <f>('Imputed Data'!J114-'Imputed Data'!J113)/'Imputed Data'!J113</f>
        <v>-9.2699884125144513E-3</v>
      </c>
      <c r="K114" s="7">
        <f>('Imputed Data'!K114-'Imputed Data'!K113)/'Imputed Data'!K113</f>
        <v>5.2346570397112019E-2</v>
      </c>
      <c r="L114" s="7">
        <f>('Imputed Data'!L114-'Imputed Data'!L113)/'Imputed Data'!L113</f>
        <v>0</v>
      </c>
      <c r="M114" s="7">
        <f>('Imputed Data'!M114-'Imputed Data'!M113)/'Imputed Data'!M113</f>
        <v>5.8823529411764948E-3</v>
      </c>
      <c r="N114" s="7">
        <f>('Imputed Data'!N114-'Imputed Data'!N113)/'Imputed Data'!N113</f>
        <v>1.9856591285162681E-2</v>
      </c>
      <c r="O114" s="7">
        <f>('Imputed Data'!O114-'Imputed Data'!O113)/'Imputed Data'!O113</f>
        <v>5.4151624548736807E-3</v>
      </c>
      <c r="P114" s="7">
        <f>('Imputed Data'!P114-'Imputed Data'!P113)/'Imputed Data'!P113</f>
        <v>8.8446655610834399E-3</v>
      </c>
      <c r="Q114" s="7">
        <f>('Imputed Data'!Q114-'Imputed Data'!Q113)/'Imputed Data'!Q113</f>
        <v>1.4637002341920374E-2</v>
      </c>
      <c r="R114" s="7">
        <f>('Imputed Data'!R114-'Imputed Data'!R113)/'Imputed Data'!R113</f>
        <v>1.0314595152139691E-3</v>
      </c>
      <c r="S114" s="7">
        <f>('Imputed Data'!S114-'Imputed Data'!S113)/'Imputed Data'!S113</f>
        <v>9.7757331799884339E-3</v>
      </c>
      <c r="T114" s="7">
        <f>('Imputed Data'!T114-'Imputed Data'!T113)/'Imputed Data'!T113</f>
        <v>1.1411411411411446E-2</v>
      </c>
      <c r="U114" s="7">
        <f>('Imputed Data'!U114-'Imputed Data'!U113)/'Imputed Data'!U113</f>
        <v>1.0416666666666567E-2</v>
      </c>
      <c r="V114" s="7">
        <f>('Imputed Data'!V114-'Imputed Data'!V113)/'Imputed Data'!V113</f>
        <v>2.9940119760479044E-3</v>
      </c>
      <c r="W114" s="7">
        <f>('Imputed Data'!W114-'Imputed Data'!W113)/'Imputed Data'!W113</f>
        <v>1.3937282229965191E-2</v>
      </c>
      <c r="X114" s="7">
        <f>('Imputed Data'!X114-'Imputed Data'!X113)/'Imputed Data'!X113</f>
        <v>7.3170731707316384E-3</v>
      </c>
      <c r="Y114" s="7">
        <f>('Imputed Data'!Y114-'Imputed Data'!Y113)/'Imputed Data'!Y113</f>
        <v>4.5977011494253523E-3</v>
      </c>
      <c r="Z114" s="7">
        <f>('Imputed Data'!Z114-'Imputed Data'!Z113)/'Imputed Data'!Z113</f>
        <v>2.4600246002460377E-3</v>
      </c>
      <c r="AA114" s="7">
        <f>('Imputed Data'!AA114-'Imputed Data'!AA113)/'Imputed Data'!AA113</f>
        <v>4.257907542579006E-3</v>
      </c>
      <c r="AB114" s="7">
        <f>('Imputed Data'!AB114-'Imputed Data'!AB113)/'Imputed Data'!AB113</f>
        <v>5.9916117435590173E-3</v>
      </c>
      <c r="AC114" s="7">
        <f>('Imputed Data'!AC114-'Imputed Data'!AC113)/'Imputed Data'!AC113</f>
        <v>-2.3696682464455312E-3</v>
      </c>
      <c r="AD114" s="7">
        <f>('Imputed Data'!AD114-'Imputed Data'!AD113)/'Imputed Data'!AD113</f>
        <v>4.1966426858512504E-3</v>
      </c>
      <c r="AE114" s="7">
        <f>('Imputed Data'!AE114-'Imputed Data'!AE113)/'Imputed Data'!AE113</f>
        <v>9.4062316284538178E-3</v>
      </c>
    </row>
    <row r="115" spans="1:31" x14ac:dyDescent="0.25">
      <c r="A115" s="1">
        <f>'Imputed Data'!A115</f>
        <v>44713</v>
      </c>
      <c r="B115" s="1" t="str">
        <f>'Imputed Data'!B115</f>
        <v>Rural+Urban</v>
      </c>
      <c r="C115" s="2">
        <f>'Imputed Data'!C115</f>
        <v>2022</v>
      </c>
      <c r="D115" s="1" t="str">
        <f>'Imputed Data'!D115</f>
        <v>June</v>
      </c>
      <c r="E115" s="7">
        <f>('Imputed Data'!E115-'Imputed Data'!E114)/'Imputed Data'!E114</f>
        <v>5.8403634003893947E-3</v>
      </c>
      <c r="F115" s="7">
        <f>('Imputed Data'!F115-'Imputed Data'!F114)/'Imputed Data'!F114</f>
        <v>1.1059907834101408E-2</v>
      </c>
      <c r="G115" s="7">
        <f>('Imputed Data'!G115-'Imputed Data'!G114)/'Imputed Data'!G114</f>
        <v>5.1724137931034517E-2</v>
      </c>
      <c r="H115" s="7">
        <f>('Imputed Data'!H115-'Imputed Data'!H114)/'Imputed Data'!H114</f>
        <v>5.4578532443905741E-3</v>
      </c>
      <c r="I115" s="7">
        <f>('Imputed Data'!I115-'Imputed Data'!I114)/'Imputed Data'!I114</f>
        <v>-7.411067193675889E-3</v>
      </c>
      <c r="J115" s="7">
        <f>('Imputed Data'!J115-'Imputed Data'!J114)/'Imputed Data'!J114</f>
        <v>-7.6023391812866164E-3</v>
      </c>
      <c r="K115" s="7">
        <f>('Imputed Data'!K115-'Imputed Data'!K114)/'Imputed Data'!K114</f>
        <v>4.230989136649517E-2</v>
      </c>
      <c r="L115" s="7">
        <f>('Imputed Data'!L115-'Imputed Data'!L114)/'Imputed Data'!L114</f>
        <v>-2.4286581663629466E-3</v>
      </c>
      <c r="M115" s="7">
        <f>('Imputed Data'!M115-'Imputed Data'!M114)/'Imputed Data'!M114</f>
        <v>1.6708437761069578E-3</v>
      </c>
      <c r="N115" s="7">
        <f>('Imputed Data'!N115-'Imputed Data'!N114)/'Imputed Data'!N114</f>
        <v>1.1898323418063756E-2</v>
      </c>
      <c r="O115" s="7">
        <f>('Imputed Data'!O115-'Imputed Data'!O114)/'Imputed Data'!O114</f>
        <v>4.7875523638540481E-3</v>
      </c>
      <c r="P115" s="7">
        <f>('Imputed Data'!P115-'Imputed Data'!P114)/'Imputed Data'!P114</f>
        <v>7.6712328767123599E-3</v>
      </c>
      <c r="Q115" s="7">
        <f>('Imputed Data'!Q115-'Imputed Data'!Q114)/'Imputed Data'!Q114</f>
        <v>9.2325447201384546E-3</v>
      </c>
      <c r="R115" s="7">
        <f>('Imputed Data'!R115-'Imputed Data'!R114)/'Imputed Data'!R114</f>
        <v>1.0303967027306391E-3</v>
      </c>
      <c r="S115" s="7">
        <f>('Imputed Data'!S115-'Imputed Data'!S114)/'Imputed Data'!S114</f>
        <v>8.5421412300683373E-3</v>
      </c>
      <c r="T115" s="7">
        <f>('Imputed Data'!T115-'Imputed Data'!T114)/'Imputed Data'!T114</f>
        <v>8.9073634204275536E-3</v>
      </c>
      <c r="U115" s="7">
        <f>('Imputed Data'!U115-'Imputed Data'!U114)/'Imputed Data'!U114</f>
        <v>8.0183276059565042E-3</v>
      </c>
      <c r="V115" s="7">
        <f>('Imputed Data'!V115-'Imputed Data'!V114)/'Imputed Data'!V114</f>
        <v>-4.1791044776118723E-3</v>
      </c>
      <c r="W115" s="7">
        <f>('Imputed Data'!W115-'Imputed Data'!W114)/'Imputed Data'!W114</f>
        <v>8.0183276059565042E-3</v>
      </c>
      <c r="X115" s="7">
        <f>('Imputed Data'!X115-'Imputed Data'!X114)/'Imputed Data'!X114</f>
        <v>7.2639225181599099E-3</v>
      </c>
      <c r="Y115" s="7">
        <f>('Imputed Data'!Y115-'Imputed Data'!Y114)/'Imputed Data'!Y114</f>
        <v>3.4324942791761686E-3</v>
      </c>
      <c r="Z115" s="7">
        <f>('Imputed Data'!Z115-'Imputed Data'!Z114)/'Imputed Data'!Z114</f>
        <v>-1.1656441717791446E-2</v>
      </c>
      <c r="AA115" s="7">
        <f>('Imputed Data'!AA115-'Imputed Data'!AA114)/'Imputed Data'!AA114</f>
        <v>4.2398546335555244E-3</v>
      </c>
      <c r="AB115" s="7">
        <f>('Imputed Data'!AB115-'Imputed Data'!AB114)/'Imputed Data'!AB114</f>
        <v>6.5515187611673272E-3</v>
      </c>
      <c r="AC115" s="7">
        <f>('Imputed Data'!AC115-'Imputed Data'!AC114)/'Imputed Data'!AC114</f>
        <v>5.9382422802850355E-3</v>
      </c>
      <c r="AD115" s="7">
        <f>('Imputed Data'!AD115-'Imputed Data'!AD114)/'Imputed Data'!AD114</f>
        <v>0</v>
      </c>
      <c r="AE115" s="7">
        <f>('Imputed Data'!AE115-'Imputed Data'!AE114)/'Imputed Data'!AE114</f>
        <v>5.2417006406523343E-3</v>
      </c>
    </row>
    <row r="116" spans="1:31" x14ac:dyDescent="0.25">
      <c r="A116" s="1">
        <f>'Imputed Data'!A116</f>
        <v>44743</v>
      </c>
      <c r="B116" s="1" t="str">
        <f>'Imputed Data'!B116</f>
        <v>Rural+Urban</v>
      </c>
      <c r="C116" s="2">
        <f>'Imputed Data'!C116</f>
        <v>2022</v>
      </c>
      <c r="D116" s="1" t="str">
        <f>'Imputed Data'!D116</f>
        <v>July</v>
      </c>
      <c r="E116" s="7">
        <f>('Imputed Data'!E116-'Imputed Data'!E115)/'Imputed Data'!E115</f>
        <v>9.6774193548387101E-3</v>
      </c>
      <c r="F116" s="7">
        <f>('Imputed Data'!F116-'Imputed Data'!F115)/'Imputed Data'!F115</f>
        <v>-2.9170464904284436E-2</v>
      </c>
      <c r="G116" s="7">
        <f>('Imputed Data'!G116-'Imputed Data'!G115)/'Imputed Data'!G115</f>
        <v>2.5761124121779725E-2</v>
      </c>
      <c r="H116" s="7">
        <f>('Imputed Data'!H116-'Imputed Data'!H115)/'Imputed Data'!H115</f>
        <v>4.8250904704462173E-3</v>
      </c>
      <c r="I116" s="7">
        <f>('Imputed Data'!I116-'Imputed Data'!I115)/'Imputed Data'!I115</f>
        <v>-2.5385764061722219E-2</v>
      </c>
      <c r="J116" s="7">
        <f>('Imputed Data'!J116-'Imputed Data'!J115)/'Imputed Data'!J115</f>
        <v>2.6517383618149679E-2</v>
      </c>
      <c r="K116" s="7">
        <f>('Imputed Data'!K116-'Imputed Data'!K115)/'Imputed Data'!K115</f>
        <v>-1.0970927043336097E-3</v>
      </c>
      <c r="L116" s="7">
        <f>('Imputed Data'!L116-'Imputed Data'!L115)/'Imputed Data'!L115</f>
        <v>0</v>
      </c>
      <c r="M116" s="7">
        <f>('Imputed Data'!M116-'Imputed Data'!M115)/'Imputed Data'!M115</f>
        <v>8.3402835696408937E-4</v>
      </c>
      <c r="N116" s="7">
        <f>('Imputed Data'!N116-'Imputed Data'!N115)/'Imputed Data'!N115</f>
        <v>1.5499732763228252E-2</v>
      </c>
      <c r="O116" s="7">
        <f>('Imputed Data'!O116-'Imputed Data'!O115)/'Imputed Data'!O115</f>
        <v>2.9779630732578916E-3</v>
      </c>
      <c r="P116" s="7">
        <f>('Imputed Data'!P116-'Imputed Data'!P115)/'Imputed Data'!P115</f>
        <v>7.0690592713430287E-3</v>
      </c>
      <c r="Q116" s="7">
        <f>('Imputed Data'!Q116-'Imputed Data'!Q115)/'Imputed Data'!Q115</f>
        <v>5.7175528873638828E-4</v>
      </c>
      <c r="R116" s="7">
        <f>('Imputed Data'!R116-'Imputed Data'!R115)/'Imputed Data'!R115</f>
        <v>1.5440041173442251E-3</v>
      </c>
      <c r="S116" s="7">
        <f>('Imputed Data'!S116-'Imputed Data'!S115)/'Imputed Data'!S115</f>
        <v>6.7758328627894812E-3</v>
      </c>
      <c r="T116" s="7">
        <f>('Imputed Data'!T116-'Imputed Data'!T115)/'Imputed Data'!T115</f>
        <v>8.2401412595644822E-3</v>
      </c>
      <c r="U116" s="7">
        <f>('Imputed Data'!U116-'Imputed Data'!U115)/'Imputed Data'!U115</f>
        <v>7.3863636363637013E-3</v>
      </c>
      <c r="V116" s="7">
        <f>('Imputed Data'!V116-'Imputed Data'!V115)/'Imputed Data'!V115</f>
        <v>5.9952038369304557E-3</v>
      </c>
      <c r="W116" s="7">
        <f>('Imputed Data'!W116-'Imputed Data'!W115)/'Imputed Data'!W115</f>
        <v>2.0454545454545423E-2</v>
      </c>
      <c r="X116" s="7">
        <f>('Imputed Data'!X116-'Imputed Data'!X115)/'Imputed Data'!X115</f>
        <v>6.0096153846153841E-3</v>
      </c>
      <c r="Y116" s="7">
        <f>('Imputed Data'!Y116-'Imputed Data'!Y115)/'Imputed Data'!Y115</f>
        <v>3.9908779931584299E-3</v>
      </c>
      <c r="Z116" s="7">
        <f>('Imputed Data'!Z116-'Imputed Data'!Z115)/'Imputed Data'!Z115</f>
        <v>3.1036623215394167E-3</v>
      </c>
      <c r="AA116" s="7">
        <f>('Imputed Data'!AA116-'Imputed Data'!AA115)/'Imputed Data'!AA115</f>
        <v>3.0156815440289505E-3</v>
      </c>
      <c r="AB116" s="7">
        <f>('Imputed Data'!AB116-'Imputed Data'!AB115)/'Imputed Data'!AB115</f>
        <v>1.4201183431952697E-2</v>
      </c>
      <c r="AC116" s="7">
        <f>('Imputed Data'!AC116-'Imputed Data'!AC115)/'Imputed Data'!AC115</f>
        <v>1.7709563164107611E-3</v>
      </c>
      <c r="AD116" s="7">
        <f>('Imputed Data'!AD116-'Imputed Data'!AD115)/'Imputed Data'!AD115</f>
        <v>5.3731343283582433E-3</v>
      </c>
      <c r="AE116" s="7">
        <f>('Imputed Data'!AE116-'Imputed Data'!AE115)/'Imputed Data'!AE115</f>
        <v>4.634994206257308E-3</v>
      </c>
    </row>
    <row r="117" spans="1:31" x14ac:dyDescent="0.25">
      <c r="A117" s="1">
        <f>'Imputed Data'!A117</f>
        <v>44774</v>
      </c>
      <c r="B117" s="1" t="str">
        <f>'Imputed Data'!B117</f>
        <v>Rural+Urban</v>
      </c>
      <c r="C117" s="2">
        <f>'Imputed Data'!C117</f>
        <v>2022</v>
      </c>
      <c r="D117" s="1" t="str">
        <f>'Imputed Data'!D117</f>
        <v>August</v>
      </c>
      <c r="E117" s="7">
        <f>('Imputed Data'!E117-'Imputed Data'!E116)/'Imputed Data'!E116</f>
        <v>2.4281150159744483E-2</v>
      </c>
      <c r="F117" s="7">
        <f>('Imputed Data'!F117-'Imputed Data'!F116)/'Imputed Data'!F116</f>
        <v>-3.0516431924882629E-2</v>
      </c>
      <c r="G117" s="7">
        <f>('Imputed Data'!G117-'Imputed Data'!G116)/'Imputed Data'!G116</f>
        <v>-3.4246575342465758E-2</v>
      </c>
      <c r="H117" s="7">
        <f>('Imputed Data'!H117-'Imputed Data'!H116)/'Imputed Data'!H116</f>
        <v>9.00360144057623E-3</v>
      </c>
      <c r="I117" s="7">
        <f>('Imputed Data'!I117-'Imputed Data'!I116)/'Imputed Data'!I116</f>
        <v>-1.7364657814096043E-2</v>
      </c>
      <c r="J117" s="7">
        <f>('Imputed Data'!J117-'Imputed Data'!J116)/'Imputed Data'!J116</f>
        <v>-7.4626865671640818E-3</v>
      </c>
      <c r="K117" s="7">
        <f>('Imputed Data'!K117-'Imputed Data'!K116)/'Imputed Data'!K116</f>
        <v>2.5260845689181737E-2</v>
      </c>
      <c r="L117" s="7">
        <f>('Imputed Data'!L117-'Imputed Data'!L116)/'Imputed Data'!L116</f>
        <v>1.7650639074862917E-2</v>
      </c>
      <c r="M117" s="7">
        <f>('Imputed Data'!M117-'Imputed Data'!M116)/'Imputed Data'!M116</f>
        <v>7.5000000000000474E-3</v>
      </c>
      <c r="N117" s="7">
        <f>('Imputed Data'!N117-'Imputed Data'!N116)/'Imputed Data'!N116</f>
        <v>1.8947368421052602E-2</v>
      </c>
      <c r="O117" s="7">
        <f>('Imputed Data'!O117-'Imputed Data'!O116)/'Imputed Data'!O116</f>
        <v>2.3752969121140478E-3</v>
      </c>
      <c r="P117" s="7">
        <f>('Imputed Data'!P117-'Imputed Data'!P116)/'Imputed Data'!P116</f>
        <v>5.9395248380130824E-3</v>
      </c>
      <c r="Q117" s="7">
        <f>('Imputed Data'!Q117-'Imputed Data'!Q116)/'Imputed Data'!Q116</f>
        <v>7.4285714285714935E-3</v>
      </c>
      <c r="R117" s="7">
        <f>('Imputed Data'!R117-'Imputed Data'!R116)/'Imputed Data'!R116</f>
        <v>2.0554984583761853E-3</v>
      </c>
      <c r="S117" s="7">
        <f>('Imputed Data'!S117-'Imputed Data'!S116)/'Imputed Data'!S116</f>
        <v>6.7302299495232108E-3</v>
      </c>
      <c r="T117" s="7">
        <f>('Imputed Data'!T117-'Imputed Data'!T116)/'Imputed Data'!T116</f>
        <v>8.1727962638644316E-3</v>
      </c>
      <c r="U117" s="7">
        <f>('Imputed Data'!U117-'Imputed Data'!U116)/'Imputed Data'!U116</f>
        <v>6.7681895093061962E-3</v>
      </c>
      <c r="V117" s="7">
        <f>('Imputed Data'!V117-'Imputed Data'!V116)/'Imputed Data'!V116</f>
        <v>7.1513706793801465E-3</v>
      </c>
      <c r="W117" s="7">
        <f>('Imputed Data'!W117-'Imputed Data'!W116)/'Imputed Data'!W116</f>
        <v>-4.4543429844097048E-3</v>
      </c>
      <c r="X117" s="7">
        <f>('Imputed Data'!X117-'Imputed Data'!X116)/'Imputed Data'!X116</f>
        <v>6.571087216248472E-3</v>
      </c>
      <c r="Y117" s="7">
        <f>('Imputed Data'!Y117-'Imputed Data'!Y116)/'Imputed Data'!Y116</f>
        <v>3.9750141964793699E-3</v>
      </c>
      <c r="Z117" s="7">
        <f>('Imputed Data'!Z117-'Imputed Data'!Z116)/'Imputed Data'!Z116</f>
        <v>1.8564356435644268E-3</v>
      </c>
      <c r="AA117" s="7">
        <f>('Imputed Data'!AA117-'Imputed Data'!AA116)/'Imputed Data'!AA116</f>
        <v>3.6079374624172836E-3</v>
      </c>
      <c r="AB117" s="7">
        <f>('Imputed Data'!AB117-'Imputed Data'!AB116)/'Imputed Data'!AB116</f>
        <v>5.2508751458576761E-3</v>
      </c>
      <c r="AC117" s="7">
        <f>('Imputed Data'!AC117-'Imputed Data'!AC116)/'Imputed Data'!AC116</f>
        <v>8.8391278727165592E-3</v>
      </c>
      <c r="AD117" s="7">
        <f>('Imputed Data'!AD117-'Imputed Data'!AD116)/'Imputed Data'!AD116</f>
        <v>4.1567695961994573E-3</v>
      </c>
      <c r="AE117" s="7">
        <f>('Imputed Data'!AE117-'Imputed Data'!AE116)/'Imputed Data'!AE116</f>
        <v>5.1903114186851538E-3</v>
      </c>
    </row>
    <row r="118" spans="1:31" x14ac:dyDescent="0.25">
      <c r="A118" s="1">
        <f>'Imputed Data'!A118</f>
        <v>44805</v>
      </c>
      <c r="B118" s="1" t="str">
        <f>'Imputed Data'!B118</f>
        <v>Rural+Urban</v>
      </c>
      <c r="C118" s="2">
        <f>'Imputed Data'!C118</f>
        <v>2022</v>
      </c>
      <c r="D118" s="1" t="str">
        <f>'Imputed Data'!D118</f>
        <v>September</v>
      </c>
      <c r="E118" s="7">
        <f>('Imputed Data'!E118-'Imputed Data'!E117)/'Imputed Data'!E117</f>
        <v>1.9962570180910719E-2</v>
      </c>
      <c r="F118" s="7">
        <f>('Imputed Data'!F118-'Imputed Data'!F117)/'Imputed Data'!F117</f>
        <v>1.3075060532687597E-2</v>
      </c>
      <c r="G118" s="7">
        <f>('Imputed Data'!G118-'Imputed Data'!G117)/'Imputed Data'!G117</f>
        <v>2.9550827423167852E-3</v>
      </c>
      <c r="H118" s="7">
        <f>('Imputed Data'!H118-'Imputed Data'!H117)/'Imputed Data'!H117</f>
        <v>9.5181439619273899E-3</v>
      </c>
      <c r="I118" s="7">
        <f>('Imputed Data'!I118-'Imputed Data'!I117)/'Imputed Data'!I117</f>
        <v>-1.9230769230769319E-2</v>
      </c>
      <c r="J118" s="7">
        <f>('Imputed Data'!J118-'Imputed Data'!J117)/'Imputed Data'!J117</f>
        <v>-4.1642567958357531E-2</v>
      </c>
      <c r="K118" s="7">
        <f>('Imputed Data'!K118-'Imputed Data'!K117)/'Imputed Data'!K117</f>
        <v>2.7316550615961558E-2</v>
      </c>
      <c r="L118" s="7">
        <f>('Imputed Data'!L118-'Imputed Data'!L117)/'Imputed Data'!L117</f>
        <v>1.1363636363636399E-2</v>
      </c>
      <c r="M118" s="7">
        <f>('Imputed Data'!M118-'Imputed Data'!M117)/'Imputed Data'!M117</f>
        <v>5.7899090157153728E-3</v>
      </c>
      <c r="N118" s="7">
        <f>('Imputed Data'!N118-'Imputed Data'!N117)/'Imputed Data'!N117</f>
        <v>1.9111570247933973E-2</v>
      </c>
      <c r="O118" s="7">
        <f>('Imputed Data'!O118-'Imputed Data'!O117)/'Imputed Data'!O117</f>
        <v>3.5545023696682125E-3</v>
      </c>
      <c r="P118" s="7">
        <f>('Imputed Data'!P118-'Imputed Data'!P117)/'Imputed Data'!P117</f>
        <v>5.9044551798174676E-3</v>
      </c>
      <c r="Q118" s="7">
        <f>('Imputed Data'!Q118-'Imputed Data'!Q117)/'Imputed Data'!Q117</f>
        <v>8.5082246171298923E-3</v>
      </c>
      <c r="R118" s="7">
        <f>('Imputed Data'!R118-'Imputed Data'!R117)/'Imputed Data'!R117</f>
        <v>4.6153846153846444E-3</v>
      </c>
      <c r="S118" s="7">
        <f>('Imputed Data'!S118-'Imputed Data'!S117)/'Imputed Data'!S117</f>
        <v>7.7994428969359649E-3</v>
      </c>
      <c r="T118" s="7">
        <f>('Imputed Data'!T118-'Imputed Data'!T117)/'Imputed Data'!T117</f>
        <v>9.2646207295890154E-3</v>
      </c>
      <c r="U118" s="7">
        <f>('Imputed Data'!U118-'Imputed Data'!U117)/'Imputed Data'!U117</f>
        <v>7.8431372549019919E-3</v>
      </c>
      <c r="V118" s="7">
        <f>('Imputed Data'!V118-'Imputed Data'!V117)/'Imputed Data'!V117</f>
        <v>2.9585798816568047E-3</v>
      </c>
      <c r="W118" s="7">
        <f>('Imputed Data'!W118-'Imputed Data'!W117)/'Imputed Data'!W117</f>
        <v>3.9149888143176093E-3</v>
      </c>
      <c r="X118" s="7">
        <f>('Imputed Data'!X118-'Imputed Data'!X117)/'Imputed Data'!X117</f>
        <v>5.9347181008902079E-3</v>
      </c>
      <c r="Y118" s="7">
        <f>('Imputed Data'!Y118-'Imputed Data'!Y117)/'Imputed Data'!Y117</f>
        <v>5.6561085972850677E-3</v>
      </c>
      <c r="Z118" s="7">
        <f>('Imputed Data'!Z118-'Imputed Data'!Z117)/'Imputed Data'!Z117</f>
        <v>2.470660901791264E-3</v>
      </c>
      <c r="AA118" s="7">
        <f>('Imputed Data'!AA118-'Imputed Data'!AA117)/'Imputed Data'!AA117</f>
        <v>4.1941282204912443E-3</v>
      </c>
      <c r="AB118" s="7">
        <f>('Imputed Data'!AB118-'Imputed Data'!AB117)/'Imputed Data'!AB117</f>
        <v>4.6430644225187636E-3</v>
      </c>
      <c r="AC118" s="7">
        <f>('Imputed Data'!AC118-'Imputed Data'!AC117)/'Imputed Data'!AC117</f>
        <v>-1.7523364485980313E-3</v>
      </c>
      <c r="AD118" s="7">
        <f>('Imputed Data'!AD118-'Imputed Data'!AD117)/'Imputed Data'!AD117</f>
        <v>3.548196333530422E-3</v>
      </c>
      <c r="AE118" s="7">
        <f>('Imputed Data'!AE118-'Imputed Data'!AE117)/'Imputed Data'!AE117</f>
        <v>5.737234652897303E-3</v>
      </c>
    </row>
    <row r="119" spans="1:31" x14ac:dyDescent="0.25">
      <c r="A119" s="1">
        <f>'Imputed Data'!A119</f>
        <v>44835</v>
      </c>
      <c r="B119" s="1" t="str">
        <f>'Imputed Data'!B119</f>
        <v>Rural+Urban</v>
      </c>
      <c r="C119" s="2">
        <f>'Imputed Data'!C119</f>
        <v>2022</v>
      </c>
      <c r="D119" s="1" t="str">
        <f>'Imputed Data'!D119</f>
        <v>October</v>
      </c>
      <c r="E119" s="7">
        <f>('Imputed Data'!E119-'Imputed Data'!E118)/'Imputed Data'!E118</f>
        <v>1.0397553516819502E-2</v>
      </c>
      <c r="F119" s="7">
        <f>('Imputed Data'!F119-'Imputed Data'!F118)/'Imputed Data'!F118</f>
        <v>8.1261950286807706E-3</v>
      </c>
      <c r="G119" s="7">
        <f>('Imputed Data'!G119-'Imputed Data'!G118)/'Imputed Data'!G118</f>
        <v>7.0713022981733478E-3</v>
      </c>
      <c r="H119" s="7">
        <f>('Imputed Data'!H119-'Imputed Data'!H118)/'Imputed Data'!H118</f>
        <v>7.0713022981733478E-3</v>
      </c>
      <c r="I119" s="7">
        <f>('Imputed Data'!I119-'Imputed Data'!I118)/'Imputed Data'!I118</f>
        <v>-1.1658717541070422E-2</v>
      </c>
      <c r="J119" s="7">
        <f>('Imputed Data'!J119-'Imputed Data'!J118)/'Imputed Data'!J118</f>
        <v>-1.1466505733252729E-2</v>
      </c>
      <c r="K119" s="7">
        <f>('Imputed Data'!K119-'Imputed Data'!K118)/'Imputed Data'!K118</f>
        <v>4.118873826903012E-2</v>
      </c>
      <c r="L119" s="7">
        <f>('Imputed Data'!L119-'Imputed Data'!L118)/'Imputed Data'!L118</f>
        <v>4.1395623891189656E-3</v>
      </c>
      <c r="M119" s="7">
        <f>('Imputed Data'!M119-'Imputed Data'!M118)/'Imputed Data'!M118</f>
        <v>2.4671052631579883E-3</v>
      </c>
      <c r="N119" s="7">
        <f>('Imputed Data'!N119-'Imputed Data'!N118)/'Imputed Data'!N118</f>
        <v>1.3177901672579798E-2</v>
      </c>
      <c r="O119" s="7">
        <f>('Imputed Data'!O119-'Imputed Data'!O118)/'Imputed Data'!O118</f>
        <v>2.9515938606847697E-3</v>
      </c>
      <c r="P119" s="7">
        <f>('Imputed Data'!P119-'Imputed Data'!P118)/'Imputed Data'!P118</f>
        <v>4.8025613660619302E-3</v>
      </c>
      <c r="Q119" s="7">
        <f>('Imputed Data'!Q119-'Imputed Data'!Q118)/'Imputed Data'!Q118</f>
        <v>1.0123734533183255E-2</v>
      </c>
      <c r="R119" s="7">
        <f>('Imputed Data'!R119-'Imputed Data'!R118)/'Imputed Data'!R118</f>
        <v>2.0418580908627142E-3</v>
      </c>
      <c r="S119" s="7">
        <f>('Imputed Data'!S119-'Imputed Data'!S118)/'Imputed Data'!S118</f>
        <v>5.5279159756771697E-3</v>
      </c>
      <c r="T119" s="7">
        <f>('Imputed Data'!T119-'Imputed Data'!T118)/'Imputed Data'!T118</f>
        <v>5.737234652897303E-3</v>
      </c>
      <c r="U119" s="7">
        <f>('Imputed Data'!U119-'Imputed Data'!U118)/'Imputed Data'!U118</f>
        <v>6.1145080600333197E-3</v>
      </c>
      <c r="V119" s="7">
        <f>('Imputed Data'!V119-'Imputed Data'!V118)/'Imputed Data'!V118</f>
        <v>1.0029498525073679E-2</v>
      </c>
      <c r="W119" s="7">
        <f>('Imputed Data'!W119-'Imputed Data'!W118)/'Imputed Data'!W118</f>
        <v>5.5710306406685237E-3</v>
      </c>
      <c r="X119" s="7">
        <f>('Imputed Data'!X119-'Imputed Data'!X118)/'Imputed Data'!X118</f>
        <v>5.30973451327437E-3</v>
      </c>
      <c r="Y119" s="7">
        <f>('Imputed Data'!Y119-'Imputed Data'!Y118)/'Imputed Data'!Y118</f>
        <v>5.0618672665915477E-3</v>
      </c>
      <c r="Z119" s="7">
        <f>('Imputed Data'!Z119-'Imputed Data'!Z118)/'Imputed Data'!Z118</f>
        <v>3.6968576709796321E-3</v>
      </c>
      <c r="AA119" s="7">
        <f>('Imputed Data'!AA119-'Imputed Data'!AA118)/'Imputed Data'!AA118</f>
        <v>3.579952267303069E-3</v>
      </c>
      <c r="AB119" s="7">
        <f>('Imputed Data'!AB119-'Imputed Data'!AB118)/'Imputed Data'!AB118</f>
        <v>1.7331022530329948E-3</v>
      </c>
      <c r="AC119" s="7">
        <f>('Imputed Data'!AC119-'Imputed Data'!AC118)/'Imputed Data'!AC118</f>
        <v>7.021650087770559E-3</v>
      </c>
      <c r="AD119" s="7">
        <f>('Imputed Data'!AD119-'Imputed Data'!AD118)/'Imputed Data'!AD118</f>
        <v>4.7142015321155655E-3</v>
      </c>
      <c r="AE119" s="7">
        <f>('Imputed Data'!AE119-'Imputed Data'!AE118)/'Imputed Data'!AE118</f>
        <v>7.9863091842554308E-3</v>
      </c>
    </row>
    <row r="120" spans="1:31" x14ac:dyDescent="0.25">
      <c r="A120" s="1">
        <f>'Imputed Data'!A120</f>
        <v>44866</v>
      </c>
      <c r="B120" s="1" t="str">
        <f>'Imputed Data'!B120</f>
        <v>Rural+Urban</v>
      </c>
      <c r="C120" s="2">
        <f>'Imputed Data'!C120</f>
        <v>2022</v>
      </c>
      <c r="D120" s="1" t="str">
        <f>'Imputed Data'!D120</f>
        <v>November</v>
      </c>
      <c r="E120" s="7">
        <f>('Imputed Data'!E120-'Imputed Data'!E119)/'Imputed Data'!E119</f>
        <v>1.3317191283293082E-2</v>
      </c>
      <c r="F120" s="7">
        <f>('Imputed Data'!F120-'Imputed Data'!F119)/'Imputed Data'!F119</f>
        <v>-7.1123755334281651E-3</v>
      </c>
      <c r="G120" s="7">
        <f>('Imputed Data'!G120-'Imputed Data'!G119)/'Imputed Data'!G119</f>
        <v>6.1439438267992974E-2</v>
      </c>
      <c r="H120" s="7">
        <f>('Imputed Data'!H120-'Imputed Data'!H119)/'Imputed Data'!H119</f>
        <v>8.1919251023990971E-3</v>
      </c>
      <c r="I120" s="7">
        <f>('Imputed Data'!I120-'Imputed Data'!I119)/'Imputed Data'!I119</f>
        <v>1.286863270777483E-2</v>
      </c>
      <c r="J120" s="7">
        <f>('Imputed Data'!J120-'Imputed Data'!J119)/'Imputed Data'!J119</f>
        <v>-1.8925518925519063E-2</v>
      </c>
      <c r="K120" s="7">
        <f>('Imputed Data'!K120-'Imputed Data'!K119)/'Imputed Data'!K119</f>
        <v>-8.3124687030545791E-2</v>
      </c>
      <c r="L120" s="7">
        <f>('Imputed Data'!L120-'Imputed Data'!L119)/'Imputed Data'!L119</f>
        <v>4.1224970553591792E-3</v>
      </c>
      <c r="M120" s="7">
        <f>('Imputed Data'!M120-'Imputed Data'!M119)/'Imputed Data'!M119</f>
        <v>1.640689089417462E-3</v>
      </c>
      <c r="N120" s="7">
        <f>('Imputed Data'!N120-'Imputed Data'!N119)/'Imputed Data'!N119</f>
        <v>1.4507253626813434E-2</v>
      </c>
      <c r="O120" s="7">
        <f>('Imputed Data'!O120-'Imputed Data'!O119)/'Imputed Data'!O119</f>
        <v>2.942907592701589E-3</v>
      </c>
      <c r="P120" s="7">
        <f>('Imputed Data'!P120-'Imputed Data'!P119)/'Imputed Data'!P119</f>
        <v>6.3728093467869812E-3</v>
      </c>
      <c r="Q120" s="7">
        <f>('Imputed Data'!Q120-'Imputed Data'!Q119)/'Imputed Data'!Q119</f>
        <v>-7.2383073496658295E-3</v>
      </c>
      <c r="R120" s="7">
        <f>('Imputed Data'!R120-'Imputed Data'!R119)/'Imputed Data'!R119</f>
        <v>3.0565461029036897E-3</v>
      </c>
      <c r="S120" s="7">
        <f>('Imputed Data'!S120-'Imputed Data'!S119)/'Imputed Data'!S119</f>
        <v>6.5970313358987825E-3</v>
      </c>
      <c r="T120" s="7">
        <f>('Imputed Data'!T120-'Imputed Data'!T119)/'Imputed Data'!T119</f>
        <v>5.1340559041641596E-3</v>
      </c>
      <c r="U120" s="7">
        <f>('Imputed Data'!U120-'Imputed Data'!U119)/'Imputed Data'!U119</f>
        <v>6.0773480662983112E-3</v>
      </c>
      <c r="V120" s="7">
        <f>('Imputed Data'!V120-'Imputed Data'!V119)/'Imputed Data'!V119</f>
        <v>3.5046728971963948E-3</v>
      </c>
      <c r="W120" s="7">
        <f>('Imputed Data'!W120-'Imputed Data'!W119)/'Imputed Data'!W119</f>
        <v>4.4321329639889825E-3</v>
      </c>
      <c r="X120" s="7">
        <f>('Imputed Data'!X120-'Imputed Data'!X119)/'Imputed Data'!X119</f>
        <v>5.8685446009389668E-3</v>
      </c>
      <c r="Y120" s="7">
        <f>('Imputed Data'!Y120-'Imputed Data'!Y119)/'Imputed Data'!Y119</f>
        <v>6.1555679910465745E-3</v>
      </c>
      <c r="Z120" s="7">
        <f>('Imputed Data'!Z120-'Imputed Data'!Z119)/'Imputed Data'!Z119</f>
        <v>6.1387354205030267E-4</v>
      </c>
      <c r="AA120" s="7">
        <f>('Imputed Data'!AA120-'Imputed Data'!AA119)/'Imputed Data'!AA119</f>
        <v>1.7835909631391878E-3</v>
      </c>
      <c r="AB120" s="7">
        <f>('Imputed Data'!AB120-'Imputed Data'!AB119)/'Imputed Data'!AB119</f>
        <v>1.7301038062282753E-3</v>
      </c>
      <c r="AC120" s="7">
        <f>('Imputed Data'!AC120-'Imputed Data'!AC119)/'Imputed Data'!AC119</f>
        <v>8.7158628704241715E-3</v>
      </c>
      <c r="AD120" s="7">
        <f>('Imputed Data'!AD120-'Imputed Data'!AD119)/'Imputed Data'!AD119</f>
        <v>3.5190615835776792E-3</v>
      </c>
      <c r="AE120" s="7">
        <f>('Imputed Data'!AE120-'Imputed Data'!AE119)/'Imputed Data'!AE119</f>
        <v>-1.1318619128465684E-3</v>
      </c>
    </row>
    <row r="121" spans="1:31" x14ac:dyDescent="0.25">
      <c r="A121" s="1">
        <f>'Imputed Data'!A121</f>
        <v>44896</v>
      </c>
      <c r="B121" s="1" t="str">
        <f>'Imputed Data'!B121</f>
        <v>Rural+Urban</v>
      </c>
      <c r="C121" s="2">
        <f>'Imputed Data'!C121</f>
        <v>2022</v>
      </c>
      <c r="D121" s="1" t="str">
        <f>'Imputed Data'!D121</f>
        <v>December</v>
      </c>
      <c r="E121" s="7">
        <f>('Imputed Data'!E121-'Imputed Data'!E120)/'Imputed Data'!E120</f>
        <v>1.0752688172042909E-2</v>
      </c>
      <c r="F121" s="7">
        <f>('Imputed Data'!F121-'Imputed Data'!F120)/'Imputed Data'!F120</f>
        <v>-1.9102196752626823E-3</v>
      </c>
      <c r="G121" s="7">
        <f>('Imputed Data'!G121-'Imputed Data'!G120)/'Imputed Data'!G120</f>
        <v>4.8511576626240255E-2</v>
      </c>
      <c r="H121" s="7">
        <f>('Imputed Data'!H121-'Imputed Data'!H120)/'Imputed Data'!H120</f>
        <v>7.5449796865930518E-3</v>
      </c>
      <c r="I121" s="7">
        <f>('Imputed Data'!I121-'Imputed Data'!I120)/'Imputed Data'!I120</f>
        <v>-2.1175224986765785E-3</v>
      </c>
      <c r="J121" s="7">
        <f>('Imputed Data'!J121-'Imputed Data'!J120)/'Imputed Data'!J120</f>
        <v>-1.6801493466085806E-2</v>
      </c>
      <c r="K121" s="7">
        <f>('Imputed Data'!K121-'Imputed Data'!K120)/'Imputed Data'!K120</f>
        <v>-0.12670671764063349</v>
      </c>
      <c r="L121" s="7">
        <f>('Imputed Data'!L121-'Imputed Data'!L120)/'Imputed Data'!L120</f>
        <v>1.7595307917889231E-3</v>
      </c>
      <c r="M121" s="7">
        <f>('Imputed Data'!M121-'Imputed Data'!M120)/'Imputed Data'!M120</f>
        <v>-2.457002457002434E-3</v>
      </c>
      <c r="N121" s="7">
        <f>('Imputed Data'!N121-'Imputed Data'!N120)/'Imputed Data'!N120</f>
        <v>1.1834319526627106E-2</v>
      </c>
      <c r="O121" s="7">
        <f>('Imputed Data'!O121-'Imputed Data'!O120)/'Imputed Data'!O120</f>
        <v>3.521126760563347E-3</v>
      </c>
      <c r="P121" s="7">
        <f>('Imputed Data'!P121-'Imputed Data'!P120)/'Imputed Data'!P120</f>
        <v>4.2216358839050729E-3</v>
      </c>
      <c r="Q121" s="7">
        <f>('Imputed Data'!Q121-'Imputed Data'!Q120)/'Imputed Data'!Q120</f>
        <v>-1.3460459899046581E-2</v>
      </c>
      <c r="R121" s="7">
        <f>('Imputed Data'!R121-'Imputed Data'!R120)/'Imputed Data'!R120</f>
        <v>2.031488065007647E-3</v>
      </c>
      <c r="S121" s="7">
        <f>('Imputed Data'!S121-'Imputed Data'!S120)/'Imputed Data'!S120</f>
        <v>4.9153468050246079E-3</v>
      </c>
      <c r="T121" s="7">
        <f>('Imputed Data'!T121-'Imputed Data'!T120)/'Imputed Data'!T120</f>
        <v>4.5402951191828118E-3</v>
      </c>
      <c r="U121" s="7">
        <f>('Imputed Data'!U121-'Imputed Data'!U120)/'Imputed Data'!U120</f>
        <v>4.9423393739703777E-3</v>
      </c>
      <c r="V121" s="7">
        <f>('Imputed Data'!V121-'Imputed Data'!V120)/'Imputed Data'!V120</f>
        <v>-6.4027939464494921E-3</v>
      </c>
      <c r="W121" s="7">
        <f>('Imputed Data'!W121-'Imputed Data'!W120)/'Imputed Data'!W120</f>
        <v>3.8610038610037982E-3</v>
      </c>
      <c r="X121" s="7">
        <f>('Imputed Data'!X121-'Imputed Data'!X120)/'Imputed Data'!X120</f>
        <v>4.0840140023336562E-3</v>
      </c>
      <c r="Y121" s="7">
        <f>('Imputed Data'!Y121-'Imputed Data'!Y120)/'Imputed Data'!Y120</f>
        <v>7.2302558398219295E-3</v>
      </c>
      <c r="Z121" s="7">
        <f>('Imputed Data'!Z121-'Imputed Data'!Z120)/'Imputed Data'!Z120</f>
        <v>2.4539877300613845E-3</v>
      </c>
      <c r="AA121" s="7">
        <f>('Imputed Data'!AA121-'Imputed Data'!AA120)/'Imputed Data'!AA120</f>
        <v>2.3738872403561168E-3</v>
      </c>
      <c r="AB121" s="7">
        <f>('Imputed Data'!AB121-'Imputed Data'!AB120)/'Imputed Data'!AB120</f>
        <v>2.3028209556707293E-3</v>
      </c>
      <c r="AC121" s="7">
        <f>('Imputed Data'!AC121-'Imputed Data'!AC120)/'Imputed Data'!AC120</f>
        <v>1.2672811059907932E-2</v>
      </c>
      <c r="AD121" s="7">
        <f>('Imputed Data'!AD121-'Imputed Data'!AD120)/'Imputed Data'!AD120</f>
        <v>5.2600818234950653E-3</v>
      </c>
      <c r="AE121" s="7">
        <f>('Imputed Data'!AE121-'Imputed Data'!AE120)/'Imputed Data'!AE120</f>
        <v>-4.5325779036827843E-3</v>
      </c>
    </row>
    <row r="122" spans="1:31" x14ac:dyDescent="0.25">
      <c r="A122" s="1">
        <f>'Imputed Data'!A122</f>
        <v>44927</v>
      </c>
      <c r="B122" s="1" t="str">
        <f>'Imputed Data'!B122</f>
        <v>Rural+Urban</v>
      </c>
      <c r="C122" s="2">
        <f>'Imputed Data'!C122</f>
        <v>2023</v>
      </c>
      <c r="D122" s="1" t="str">
        <f>'Imputed Data'!D122</f>
        <v>January</v>
      </c>
      <c r="E122" s="7">
        <f>('Imputed Data'!E122-'Imputed Data'!E121)/'Imputed Data'!E121</f>
        <v>2.7186761229314557E-2</v>
      </c>
      <c r="F122" s="7">
        <f>('Imputed Data'!F122-'Imputed Data'!F121)/'Imputed Data'!F121</f>
        <v>8.1339712918659744E-3</v>
      </c>
      <c r="G122" s="7">
        <f>('Imputed Data'!G122-'Imputed Data'!G121)/'Imputed Data'!G121</f>
        <v>2.2607781282860208E-2</v>
      </c>
      <c r="H122" s="7">
        <f>('Imputed Data'!H122-'Imputed Data'!H121)/'Imputed Data'!H121</f>
        <v>5.7603686635944703E-3</v>
      </c>
      <c r="I122" s="7">
        <f>('Imputed Data'!I122-'Imputed Data'!I121)/'Imputed Data'!I121</f>
        <v>-6.8965517241379917E-3</v>
      </c>
      <c r="J122" s="7">
        <f>('Imputed Data'!J122-'Imputed Data'!J121)/'Imputed Data'!J121</f>
        <v>1.8987341772152618E-3</v>
      </c>
      <c r="K122" s="7">
        <f>('Imputed Data'!K122-'Imputed Data'!K121)/'Imputed Data'!K121</f>
        <v>-3.7523452157598496E-2</v>
      </c>
      <c r="L122" s="7">
        <f>('Imputed Data'!L122-'Imputed Data'!L121)/'Imputed Data'!L121</f>
        <v>5.854800936767817E-4</v>
      </c>
      <c r="M122" s="7">
        <f>('Imputed Data'!M122-'Imputed Data'!M121)/'Imputed Data'!M121</f>
        <v>-5.7471264367816325E-3</v>
      </c>
      <c r="N122" s="7">
        <f>('Imputed Data'!N122-'Imputed Data'!N121)/'Imputed Data'!N121</f>
        <v>1.5594541910331468E-2</v>
      </c>
      <c r="O122" s="7">
        <f>('Imputed Data'!O122-'Imputed Data'!O121)/'Imputed Data'!O121</f>
        <v>2.339181286549741E-3</v>
      </c>
      <c r="P122" s="7">
        <f>('Imputed Data'!P122-'Imputed Data'!P121)/'Imputed Data'!P121</f>
        <v>4.7293746715710832E-3</v>
      </c>
      <c r="Q122" s="7">
        <f>('Imputed Data'!Q122-'Imputed Data'!Q121)/'Imputed Data'!Q121</f>
        <v>4.5480386583284984E-3</v>
      </c>
      <c r="R122" s="7">
        <f>('Imputed Data'!R122-'Imputed Data'!R121)/'Imputed Data'!R121</f>
        <v>4.5615813482005937E-3</v>
      </c>
      <c r="S122" s="7">
        <f>('Imputed Data'!S122-'Imputed Data'!S121)/'Imputed Data'!S121</f>
        <v>4.8913043478261177E-3</v>
      </c>
      <c r="T122" s="7">
        <f>('Imputed Data'!T122-'Imputed Data'!T121)/'Imputed Data'!T121</f>
        <v>3.3898305084745441E-3</v>
      </c>
      <c r="U122" s="7">
        <f>('Imputed Data'!U122-'Imputed Data'!U121)/'Imputed Data'!U121</f>
        <v>4.3715846994536144E-3</v>
      </c>
      <c r="V122" s="7">
        <f>('Imputed Data'!V122-'Imputed Data'!V121)/'Imputed Data'!V121</f>
        <v>8.201523140011751E-3</v>
      </c>
      <c r="W122" s="7">
        <f>('Imputed Data'!W122-'Imputed Data'!W121)/'Imputed Data'!W121</f>
        <v>0</v>
      </c>
      <c r="X122" s="7">
        <f>('Imputed Data'!X122-'Imputed Data'!X121)/'Imputed Data'!X121</f>
        <v>4.648460197559625E-3</v>
      </c>
      <c r="Y122" s="7">
        <f>('Imputed Data'!Y122-'Imputed Data'!Y121)/'Imputed Data'!Y121</f>
        <v>6.6261733848703317E-3</v>
      </c>
      <c r="Z122" s="7">
        <f>('Imputed Data'!Z122-'Imputed Data'!Z121)/'Imputed Data'!Z121</f>
        <v>1.2239902080782657E-3</v>
      </c>
      <c r="AA122" s="7">
        <f>('Imputed Data'!AA122-'Imputed Data'!AA121)/'Imputed Data'!AA121</f>
        <v>3.5523978685612452E-3</v>
      </c>
      <c r="AB122" s="7">
        <f>('Imputed Data'!AB122-'Imputed Data'!AB121)/'Imputed Data'!AB121</f>
        <v>1.1487650775417408E-3</v>
      </c>
      <c r="AC122" s="7">
        <f>('Imputed Data'!AC122-'Imputed Data'!AC121)/'Imputed Data'!AC121</f>
        <v>1.5927189988623337E-2</v>
      </c>
      <c r="AD122" s="7">
        <f>('Imputed Data'!AD122-'Imputed Data'!AD121)/'Imputed Data'!AD121</f>
        <v>4.6511627906977403E-3</v>
      </c>
      <c r="AE122" s="7">
        <f>('Imputed Data'!AE122-'Imputed Data'!AE121)/'Imputed Data'!AE121</f>
        <v>4.5532157085942599E-3</v>
      </c>
    </row>
    <row r="123" spans="1:31" x14ac:dyDescent="0.25">
      <c r="A123" s="1">
        <f>'Imputed Data'!A123</f>
        <v>44958</v>
      </c>
      <c r="B123" s="1" t="str">
        <f>'Imputed Data'!B123</f>
        <v>Rural+Urban</v>
      </c>
      <c r="C123" s="2">
        <f>'Imputed Data'!C123</f>
        <v>2023</v>
      </c>
      <c r="D123" s="1" t="str">
        <f>'Imputed Data'!D123</f>
        <v>February</v>
      </c>
      <c r="E123" s="7">
        <f>('Imputed Data'!E123-'Imputed Data'!E122)/'Imputed Data'!E122</f>
        <v>3.4522439585730398E-3</v>
      </c>
      <c r="F123" s="7">
        <f>('Imputed Data'!F123-'Imputed Data'!F122)/'Imputed Data'!F122</f>
        <v>-1.423825344091125E-2</v>
      </c>
      <c r="G123" s="7">
        <f>('Imputed Data'!G123-'Imputed Data'!G122)/'Imputed Data'!G122</f>
        <v>-9.9228791773778982E-2</v>
      </c>
      <c r="H123" s="7">
        <f>('Imputed Data'!H123-'Imputed Data'!H122)/'Imputed Data'!H122</f>
        <v>1.5463917525773294E-2</v>
      </c>
      <c r="I123" s="7">
        <f>('Imputed Data'!I123-'Imputed Data'!I122)/'Imputed Data'!I122</f>
        <v>-4.2200854700854579E-2</v>
      </c>
      <c r="J123" s="7">
        <f>('Imputed Data'!J123-'Imputed Data'!J122)/'Imputed Data'!J122</f>
        <v>7.0751737207833149E-2</v>
      </c>
      <c r="K123" s="7">
        <f>('Imputed Data'!K123-'Imputed Data'!K122)/'Imputed Data'!K122</f>
        <v>-7.7972709551658026E-3</v>
      </c>
      <c r="L123" s="7">
        <f>('Imputed Data'!L123-'Imputed Data'!L122)/'Imputed Data'!L122</f>
        <v>5.8513750731418557E-4</v>
      </c>
      <c r="M123" s="7">
        <f>('Imputed Data'!M123-'Imputed Data'!M122)/'Imputed Data'!M122</f>
        <v>-9.0834021469859156E-3</v>
      </c>
      <c r="N123" s="7">
        <f>('Imputed Data'!N123-'Imputed Data'!N122)/'Imputed Data'!N122</f>
        <v>6.2380038387715112E-3</v>
      </c>
      <c r="O123" s="7">
        <f>('Imputed Data'!O123-'Imputed Data'!O122)/'Imputed Data'!O122</f>
        <v>5.2508751458576761E-3</v>
      </c>
      <c r="P123" s="7">
        <f>('Imputed Data'!P123-'Imputed Data'!P122)/'Imputed Data'!P122</f>
        <v>9.4142259414226534E-3</v>
      </c>
      <c r="Q123" s="7">
        <f>('Imputed Data'!Q123-'Imputed Data'!Q122)/'Imputed Data'!Q122</f>
        <v>1.6977928692700134E-3</v>
      </c>
      <c r="R123" s="7">
        <f>('Imputed Data'!R123-'Imputed Data'!R122)/'Imputed Data'!R122</f>
        <v>6.5590312815338621E-3</v>
      </c>
      <c r="S123" s="7">
        <f>('Imputed Data'!S123-'Imputed Data'!S122)/'Imputed Data'!S122</f>
        <v>7.0308274743103453E-3</v>
      </c>
      <c r="T123" s="7">
        <f>('Imputed Data'!T123-'Imputed Data'!T122)/'Imputed Data'!T122</f>
        <v>6.1936936936936617E-3</v>
      </c>
      <c r="U123" s="7">
        <f>('Imputed Data'!U123-'Imputed Data'!U122)/'Imputed Data'!U122</f>
        <v>7.0729053318823879E-3</v>
      </c>
      <c r="V123" s="7">
        <f>('Imputed Data'!V123-'Imputed Data'!V122)/'Imputed Data'!V122</f>
        <v>8.1348053457292614E-3</v>
      </c>
      <c r="W123" s="7">
        <f>('Imputed Data'!W123-'Imputed Data'!W122)/'Imputed Data'!W122</f>
        <v>5.4945054945051823E-4</v>
      </c>
      <c r="X123" s="7">
        <f>('Imputed Data'!X123-'Imputed Data'!X122)/'Imputed Data'!X122</f>
        <v>7.5187969924811037E-3</v>
      </c>
      <c r="Y123" s="7">
        <f>('Imputed Data'!Y123-'Imputed Data'!Y122)/'Imputed Data'!Y122</f>
        <v>1.1519473395501889E-2</v>
      </c>
      <c r="Z123" s="7">
        <f>('Imputed Data'!Z123-'Imputed Data'!Z122)/'Imputed Data'!Z122</f>
        <v>3.6674816625916523E-3</v>
      </c>
      <c r="AA123" s="7">
        <f>('Imputed Data'!AA123-'Imputed Data'!AA122)/'Imputed Data'!AA122</f>
        <v>4.7197640117994768E-3</v>
      </c>
      <c r="AB123" s="7">
        <f>('Imputed Data'!AB123-'Imputed Data'!AB122)/'Imputed Data'!AB122</f>
        <v>4.016064257028047E-3</v>
      </c>
      <c r="AC123" s="7">
        <f>('Imputed Data'!AC123-'Imputed Data'!AC122)/'Imputed Data'!AC122</f>
        <v>1.3437849944008991E-2</v>
      </c>
      <c r="AD123" s="7">
        <f>('Imputed Data'!AD123-'Imputed Data'!AD122)/'Imputed Data'!AD122</f>
        <v>7.5231481481480489E-3</v>
      </c>
      <c r="AE123" s="7">
        <f>('Imputed Data'!AE123-'Imputed Data'!AE122)/'Imputed Data'!AE122</f>
        <v>3.9660056657223148E-3</v>
      </c>
    </row>
    <row r="124" spans="1:31" x14ac:dyDescent="0.25">
      <c r="A124" s="1">
        <f>'Imputed Data'!A124</f>
        <v>44986</v>
      </c>
      <c r="B124" s="1" t="str">
        <f>'Imputed Data'!B124</f>
        <v>Rural+Urban</v>
      </c>
      <c r="C124" s="2">
        <f>'Imputed Data'!C124</f>
        <v>2023</v>
      </c>
      <c r="D124" s="1" t="str">
        <f>'Imputed Data'!D124</f>
        <v>March</v>
      </c>
      <c r="E124" s="7">
        <f>('Imputed Data'!E124-'Imputed Data'!E123)/'Imputed Data'!E123</f>
        <v>0</v>
      </c>
      <c r="F124" s="7">
        <f>('Imputed Data'!F124-'Imputed Data'!F123)/'Imputed Data'!F123</f>
        <v>0</v>
      </c>
      <c r="G124" s="7">
        <f>('Imputed Data'!G124-'Imputed Data'!G123)/'Imputed Data'!G123</f>
        <v>0</v>
      </c>
      <c r="H124" s="7">
        <f>('Imputed Data'!H124-'Imputed Data'!H123)/'Imputed Data'!H123</f>
        <v>0</v>
      </c>
      <c r="I124" s="7">
        <f>('Imputed Data'!I124-'Imputed Data'!I123)/'Imputed Data'!I123</f>
        <v>-5.5772448410497898E-4</v>
      </c>
      <c r="J124" s="7">
        <f>('Imputed Data'!J124-'Imputed Data'!J123)/'Imputed Data'!J123</f>
        <v>0</v>
      </c>
      <c r="K124" s="7">
        <f>('Imputed Data'!K124-'Imputed Data'!K123)/'Imputed Data'!K123</f>
        <v>6.5487884741337755E-4</v>
      </c>
      <c r="L124" s="7">
        <f>('Imputed Data'!L124-'Imputed Data'!L123)/'Imputed Data'!L123</f>
        <v>5.8479532163739363E-4</v>
      </c>
      <c r="M124" s="7">
        <f>('Imputed Data'!M124-'Imputed Data'!M123)/'Imputed Data'!M123</f>
        <v>0</v>
      </c>
      <c r="N124" s="7">
        <f>('Imputed Data'!N124-'Imputed Data'!N123)/'Imputed Data'!N123</f>
        <v>0</v>
      </c>
      <c r="O124" s="7">
        <f>('Imputed Data'!O124-'Imputed Data'!O123)/'Imputed Data'!O123</f>
        <v>0</v>
      </c>
      <c r="P124" s="7">
        <f>('Imputed Data'!P124-'Imputed Data'!P123)/'Imputed Data'!P123</f>
        <v>0</v>
      </c>
      <c r="Q124" s="7">
        <f>('Imputed Data'!Q124-'Imputed Data'!Q123)/'Imputed Data'!Q123</f>
        <v>0</v>
      </c>
      <c r="R124" s="7">
        <f>('Imputed Data'!R124-'Imputed Data'!R123)/'Imputed Data'!R123</f>
        <v>0</v>
      </c>
      <c r="S124" s="7">
        <f>('Imputed Data'!S124-'Imputed Data'!S123)/'Imputed Data'!S123</f>
        <v>-5.3705692803434116E-4</v>
      </c>
      <c r="T124" s="7">
        <f>('Imputed Data'!T124-'Imputed Data'!T123)/'Imputed Data'!T123</f>
        <v>0</v>
      </c>
      <c r="U124" s="7">
        <f>('Imputed Data'!U124-'Imputed Data'!U123)/'Imputed Data'!U123</f>
        <v>0</v>
      </c>
      <c r="V124" s="7">
        <f>('Imputed Data'!V124-'Imputed Data'!V123)/'Imputed Data'!V123</f>
        <v>0</v>
      </c>
      <c r="W124" s="7">
        <f>('Imputed Data'!W124-'Imputed Data'!W123)/'Imputed Data'!W123</f>
        <v>-1.0982976386600144E-3</v>
      </c>
      <c r="X124" s="7">
        <f>('Imputed Data'!X124-'Imputed Data'!X123)/'Imputed Data'!X123</f>
        <v>0</v>
      </c>
      <c r="Y124" s="7">
        <f>('Imputed Data'!Y124-'Imputed Data'!Y123)/'Imputed Data'!Y123</f>
        <v>0</v>
      </c>
      <c r="Z124" s="7">
        <f>('Imputed Data'!Z124-'Imputed Data'!Z123)/'Imputed Data'!Z123</f>
        <v>0</v>
      </c>
      <c r="AA124" s="7">
        <f>('Imputed Data'!AA124-'Imputed Data'!AA123)/'Imputed Data'!AA123</f>
        <v>0</v>
      </c>
      <c r="AB124" s="7">
        <f>('Imputed Data'!AB124-'Imputed Data'!AB123)/'Imputed Data'!AB123</f>
        <v>0</v>
      </c>
      <c r="AC124" s="7">
        <f>('Imputed Data'!AC124-'Imputed Data'!AC123)/'Imputed Data'!AC123</f>
        <v>0</v>
      </c>
      <c r="AD124" s="7">
        <f>('Imputed Data'!AD124-'Imputed Data'!AD123)/'Imputed Data'!AD123</f>
        <v>0</v>
      </c>
      <c r="AE124" s="7">
        <f>('Imputed Data'!AE124-'Imputed Data'!AE123)/'Imputed Data'!AE123</f>
        <v>0</v>
      </c>
    </row>
    <row r="125" spans="1:31" x14ac:dyDescent="0.25">
      <c r="A125" s="1">
        <f>'Imputed Data'!A125</f>
        <v>45017</v>
      </c>
      <c r="B125" s="1" t="str">
        <f>'Imputed Data'!B125</f>
        <v>Rural+Urban</v>
      </c>
      <c r="C125" s="2">
        <f>'Imputed Data'!C125</f>
        <v>2023</v>
      </c>
      <c r="D125" s="1" t="str">
        <f>'Imputed Data'!D125</f>
        <v>April</v>
      </c>
      <c r="E125" s="7">
        <f>('Imputed Data'!E125-'Imputed Data'!E124)/'Imputed Data'!E124</f>
        <v>-3.4403669724770315E-3</v>
      </c>
      <c r="F125" s="7">
        <f>('Imputed Data'!F125-'Imputed Data'!F124)/'Imputed Data'!F124</f>
        <v>7.7034183919115207E-3</v>
      </c>
      <c r="G125" s="7">
        <f>('Imputed Data'!G125-'Imputed Data'!G124)/'Imputed Data'!G124</f>
        <v>-3.1963470319634674E-2</v>
      </c>
      <c r="H125" s="7">
        <f>('Imputed Data'!H125-'Imputed Data'!H124)/'Imputed Data'!H124</f>
        <v>6.2041737168640398E-3</v>
      </c>
      <c r="I125" s="7">
        <f>('Imputed Data'!I125-'Imputed Data'!I124)/'Imputed Data'!I124</f>
        <v>-2.3995535714285622E-2</v>
      </c>
      <c r="J125" s="7">
        <f>('Imputed Data'!J125-'Imputed Data'!J124)/'Imputed Data'!J124</f>
        <v>4.0117994100295054E-2</v>
      </c>
      <c r="K125" s="7">
        <f>('Imputed Data'!K125-'Imputed Data'!K124)/'Imputed Data'!K124</f>
        <v>1.7015706806282685E-2</v>
      </c>
      <c r="L125" s="7">
        <f>('Imputed Data'!L125-'Imputed Data'!L124)/'Imputed Data'!L124</f>
        <v>1.3442431326709593E-2</v>
      </c>
      <c r="M125" s="7">
        <f>('Imputed Data'!M125-'Imputed Data'!M124)/'Imputed Data'!M124</f>
        <v>1.0833333333333309E-2</v>
      </c>
      <c r="N125" s="7">
        <f>('Imputed Data'!N125-'Imputed Data'!N124)/'Imputed Data'!N124</f>
        <v>1.5259895088221351E-2</v>
      </c>
      <c r="O125" s="7">
        <f>('Imputed Data'!O125-'Imputed Data'!O124)/'Imputed Data'!O124</f>
        <v>3.4822983168891135E-3</v>
      </c>
      <c r="P125" s="7">
        <f>('Imputed Data'!P125-'Imputed Data'!P124)/'Imputed Data'!P124</f>
        <v>2.5906735751295338E-3</v>
      </c>
      <c r="Q125" s="7">
        <f>('Imputed Data'!Q125-'Imputed Data'!Q124)/'Imputed Data'!Q124</f>
        <v>5.0847457627118961E-3</v>
      </c>
      <c r="R125" s="7">
        <f>('Imputed Data'!R125-'Imputed Data'!R124)/'Imputed Data'!R124</f>
        <v>5.5137844611528536E-3</v>
      </c>
      <c r="S125" s="7">
        <f>('Imputed Data'!S125-'Imputed Data'!S124)/'Imputed Data'!S124</f>
        <v>4.2987641053197816E-3</v>
      </c>
      <c r="T125" s="7">
        <f>('Imputed Data'!T125-'Imputed Data'!T124)/'Imputed Data'!T124</f>
        <v>2.7979854504756579E-3</v>
      </c>
      <c r="U125" s="7">
        <f>('Imputed Data'!U125-'Imputed Data'!U124)/'Imputed Data'!U124</f>
        <v>3.2414910858994833E-3</v>
      </c>
      <c r="V125" s="7">
        <f>('Imputed Data'!V125-'Imputed Data'!V124)/'Imputed Data'!V124</f>
        <v>9.7982708933716921E-3</v>
      </c>
      <c r="W125" s="7">
        <f>('Imputed Data'!W125-'Imputed Data'!W124)/'Imputed Data'!W124</f>
        <v>-1.0995052226499013E-3</v>
      </c>
      <c r="X125" s="7">
        <f>('Imputed Data'!X125-'Imputed Data'!X124)/'Imputed Data'!X124</f>
        <v>2.2962112514351646E-3</v>
      </c>
      <c r="Y125" s="7">
        <f>('Imputed Data'!Y125-'Imputed Data'!Y124)/'Imputed Data'!Y124</f>
        <v>3.2537960954446546E-3</v>
      </c>
      <c r="Z125" s="7">
        <f>('Imputed Data'!Z125-'Imputed Data'!Z124)/'Imputed Data'!Z124</f>
        <v>1.8270401948843567E-3</v>
      </c>
      <c r="AA125" s="7">
        <f>('Imputed Data'!AA125-'Imputed Data'!AA124)/'Imputed Data'!AA124</f>
        <v>2.3487962419258793E-3</v>
      </c>
      <c r="AB125" s="7">
        <f>('Imputed Data'!AB125-'Imputed Data'!AB124)/'Imputed Data'!AB124</f>
        <v>8.0000000000000331E-3</v>
      </c>
      <c r="AC125" s="7">
        <f>('Imputed Data'!AC125-'Imputed Data'!AC124)/'Imputed Data'!AC124</f>
        <v>1.6574585635359115E-2</v>
      </c>
      <c r="AD125" s="7">
        <f>('Imputed Data'!AD125-'Imputed Data'!AD124)/'Imputed Data'!AD124</f>
        <v>5.1694428489374254E-3</v>
      </c>
      <c r="AE125" s="7">
        <f>('Imputed Data'!AE125-'Imputed Data'!AE124)/'Imputed Data'!AE124</f>
        <v>5.0790067720090613E-3</v>
      </c>
    </row>
    <row r="126" spans="1:31" x14ac:dyDescent="0.25">
      <c r="A126" s="1">
        <f>'Imputed Data'!A126</f>
        <v>45047</v>
      </c>
      <c r="B126" s="1" t="str">
        <f>'Imputed Data'!B126</f>
        <v>Rural+Urban</v>
      </c>
      <c r="C126" s="2">
        <f>'Imputed Data'!C126</f>
        <v>2023</v>
      </c>
      <c r="D126" s="1" t="str">
        <f>'Imputed Data'!D126</f>
        <v>May</v>
      </c>
      <c r="E126" s="7">
        <f>('Imputed Data'!E126-'Imputed Data'!E125)/'Imputed Data'!E125</f>
        <v>-5.7537399309564284E-4</v>
      </c>
      <c r="F126" s="7">
        <f>('Imputed Data'!F126-'Imputed Data'!F125)/'Imputed Data'!F125</f>
        <v>2.3889154323936932E-2</v>
      </c>
      <c r="G126" s="7">
        <f>('Imputed Data'!G126-'Imputed Data'!G125)/'Imputed Data'!G125</f>
        <v>2.122641509433959E-2</v>
      </c>
      <c r="H126" s="7">
        <f>('Imputed Data'!H126-'Imputed Data'!H125)/'Imputed Data'!H125</f>
        <v>6.1659192825111791E-3</v>
      </c>
      <c r="I126" s="7">
        <f>('Imputed Data'!I126-'Imputed Data'!I125)/'Imputed Data'!I125</f>
        <v>-2.801600914808465E-2</v>
      </c>
      <c r="J126" s="7">
        <f>('Imputed Data'!J126-'Imputed Data'!J125)/'Imputed Data'!J125</f>
        <v>-2.32558139534885E-2</v>
      </c>
      <c r="K126" s="7">
        <f>('Imputed Data'!K126-'Imputed Data'!K125)/'Imputed Data'!K125</f>
        <v>3.6036036036036001E-2</v>
      </c>
      <c r="L126" s="7">
        <f>('Imputed Data'!L126-'Imputed Data'!L125)/'Imputed Data'!L125</f>
        <v>1.2687427912341341E-2</v>
      </c>
      <c r="M126" s="7">
        <f>('Imputed Data'!M126-'Imputed Data'!M125)/'Imputed Data'!M125</f>
        <v>1.1541632316570533E-2</v>
      </c>
      <c r="N126" s="7">
        <f>('Imputed Data'!N126-'Imputed Data'!N125)/'Imputed Data'!N125</f>
        <v>2.3954908407703118E-2</v>
      </c>
      <c r="O126" s="7">
        <f>('Imputed Data'!O126-'Imputed Data'!O125)/'Imputed Data'!O125</f>
        <v>2.8918449971081549E-3</v>
      </c>
      <c r="P126" s="7">
        <f>('Imputed Data'!P126-'Imputed Data'!P125)/'Imputed Data'!P125</f>
        <v>3.6175710594314658E-3</v>
      </c>
      <c r="Q126" s="7">
        <f>('Imputed Data'!Q126-'Imputed Data'!Q125)/'Imputed Data'!Q125</f>
        <v>6.7453625632377095E-3</v>
      </c>
      <c r="R126" s="7">
        <f>('Imputed Data'!R126-'Imputed Data'!R125)/'Imputed Data'!R125</f>
        <v>1.9940179461615439E-3</v>
      </c>
      <c r="S126" s="7">
        <f>('Imputed Data'!S126-'Imputed Data'!S125)/'Imputed Data'!S125</f>
        <v>2.1401819154628445E-3</v>
      </c>
      <c r="T126" s="7">
        <f>('Imputed Data'!T126-'Imputed Data'!T125)/'Imputed Data'!T125</f>
        <v>2.7901785714285715E-3</v>
      </c>
      <c r="U126" s="7">
        <f>('Imputed Data'!U126-'Imputed Data'!U125)/'Imputed Data'!U125</f>
        <v>2.6925148088314489E-3</v>
      </c>
      <c r="V126" s="7">
        <f>('Imputed Data'!V126-'Imputed Data'!V125)/'Imputed Data'!V125</f>
        <v>2.2831050228310826E-3</v>
      </c>
      <c r="W126" s="7">
        <f>('Imputed Data'!W126-'Imputed Data'!W125)/'Imputed Data'!W125</f>
        <v>6.0539350577876877E-3</v>
      </c>
      <c r="X126" s="7">
        <f>('Imputed Data'!X126-'Imputed Data'!X125)/'Imputed Data'!X125</f>
        <v>3.4364261168384554E-3</v>
      </c>
      <c r="Y126" s="7">
        <f>('Imputed Data'!Y126-'Imputed Data'!Y125)/'Imputed Data'!Y125</f>
        <v>3.7837837837837222E-3</v>
      </c>
      <c r="Z126" s="7">
        <f>('Imputed Data'!Z126-'Imputed Data'!Z125)/'Imputed Data'!Z125</f>
        <v>1.8237082066869992E-3</v>
      </c>
      <c r="AA126" s="7">
        <f>('Imputed Data'!AA126-'Imputed Data'!AA125)/'Imputed Data'!AA125</f>
        <v>2.9291154071470417E-3</v>
      </c>
      <c r="AB126" s="7">
        <f>('Imputed Data'!AB126-'Imputed Data'!AB125)/'Imputed Data'!AB125</f>
        <v>3.9682539682539038E-3</v>
      </c>
      <c r="AC126" s="7">
        <f>('Imputed Data'!AC126-'Imputed Data'!AC125)/'Imputed Data'!AC125</f>
        <v>6.5217391304347207E-3</v>
      </c>
      <c r="AD126" s="7">
        <f>('Imputed Data'!AD126-'Imputed Data'!AD125)/'Imputed Data'!AD125</f>
        <v>3.999999999999935E-3</v>
      </c>
      <c r="AE126" s="7">
        <f>('Imputed Data'!AE126-'Imputed Data'!AE125)/'Imputed Data'!AE125</f>
        <v>5.614823133071308E-3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6EBEC-2AC6-4521-B57C-8CC0F37DA84A}">
  <dimension ref="A1:AE126"/>
  <sheetViews>
    <sheetView topLeftCell="C91" workbookViewId="0">
      <selection activeCell="AE101" sqref="AE101:AE102"/>
    </sheetView>
  </sheetViews>
  <sheetFormatPr defaultRowHeight="15" x14ac:dyDescent="0.25"/>
  <cols>
    <col min="1" max="1" width="10.5703125" customWidth="1"/>
  </cols>
  <sheetData>
    <row r="1" spans="1:31"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5" t="s">
        <v>30</v>
      </c>
    </row>
    <row r="2" spans="1:31" x14ac:dyDescent="0.25">
      <c r="A2" s="1">
        <f>'Imputed Data'!A2</f>
        <v>41275</v>
      </c>
      <c r="B2" s="1" t="str">
        <f>'Imputed Data'!B2</f>
        <v>Rural+Urban</v>
      </c>
      <c r="C2" s="2">
        <f>'Imputed Data'!C2</f>
        <v>2013</v>
      </c>
      <c r="D2" s="1" t="str">
        <f>'Imputed Data'!D2</f>
        <v>January</v>
      </c>
    </row>
    <row r="3" spans="1:31" x14ac:dyDescent="0.25">
      <c r="A3" s="1">
        <f>'Imputed Data'!A3</f>
        <v>41306</v>
      </c>
      <c r="B3" s="1" t="str">
        <f>'Imputed Data'!B3</f>
        <v>Rural+Urban</v>
      </c>
      <c r="C3" s="2">
        <f>'Imputed Data'!C3</f>
        <v>2013</v>
      </c>
      <c r="D3" s="1" t="str">
        <f>'Imputed Data'!D3</f>
        <v>February</v>
      </c>
    </row>
    <row r="4" spans="1:31" x14ac:dyDescent="0.25">
      <c r="A4" s="1">
        <f>'Imputed Data'!A4</f>
        <v>41334</v>
      </c>
      <c r="B4" s="1" t="str">
        <f>'Imputed Data'!B4</f>
        <v>Rural+Urban</v>
      </c>
      <c r="C4" s="2">
        <f>'Imputed Data'!C4</f>
        <v>2013</v>
      </c>
      <c r="D4" s="1" t="str">
        <f>'Imputed Data'!D4</f>
        <v>March</v>
      </c>
    </row>
    <row r="5" spans="1:31" x14ac:dyDescent="0.25">
      <c r="A5" s="1">
        <f>'Imputed Data'!A5</f>
        <v>41365</v>
      </c>
      <c r="B5" s="1" t="str">
        <f>'Imputed Data'!B5</f>
        <v>Rural+Urban</v>
      </c>
      <c r="C5" s="2">
        <f>'Imputed Data'!C5</f>
        <v>2013</v>
      </c>
      <c r="D5" s="1" t="str">
        <f>'Imputed Data'!D5</f>
        <v>April</v>
      </c>
    </row>
    <row r="6" spans="1:31" x14ac:dyDescent="0.25">
      <c r="A6" s="1">
        <f>'Imputed Data'!A6</f>
        <v>41395</v>
      </c>
      <c r="B6" s="1" t="str">
        <f>'Imputed Data'!B6</f>
        <v>Rural+Urban</v>
      </c>
      <c r="C6" s="2">
        <f>'Imputed Data'!C6</f>
        <v>2013</v>
      </c>
      <c r="D6" s="1" t="str">
        <f>'Imputed Data'!D6</f>
        <v>May</v>
      </c>
    </row>
    <row r="7" spans="1:31" x14ac:dyDescent="0.25">
      <c r="A7" s="1">
        <f>'Imputed Data'!A7</f>
        <v>41426</v>
      </c>
      <c r="B7" s="1" t="str">
        <f>'Imputed Data'!B7</f>
        <v>Rural+Urban</v>
      </c>
      <c r="C7" s="2">
        <f>'Imputed Data'!C7</f>
        <v>2013</v>
      </c>
      <c r="D7" s="1" t="str">
        <f>'Imputed Data'!D7</f>
        <v>June</v>
      </c>
    </row>
    <row r="8" spans="1:31" x14ac:dyDescent="0.25">
      <c r="A8" s="1">
        <f>'Imputed Data'!A8</f>
        <v>41456</v>
      </c>
      <c r="B8" s="1" t="str">
        <f>'Imputed Data'!B8</f>
        <v>Rural+Urban</v>
      </c>
      <c r="C8" s="2">
        <f>'Imputed Data'!C8</f>
        <v>2013</v>
      </c>
      <c r="D8" s="1" t="str">
        <f>'Imputed Data'!D8</f>
        <v>July</v>
      </c>
    </row>
    <row r="9" spans="1:31" x14ac:dyDescent="0.25">
      <c r="A9" s="1">
        <f>'Imputed Data'!A9</f>
        <v>41487</v>
      </c>
      <c r="B9" s="1" t="str">
        <f>'Imputed Data'!B9</f>
        <v>Rural+Urban</v>
      </c>
      <c r="C9" s="2">
        <f>'Imputed Data'!C9</f>
        <v>2013</v>
      </c>
      <c r="D9" s="1" t="str">
        <f>'Imputed Data'!D9</f>
        <v>August</v>
      </c>
    </row>
    <row r="10" spans="1:31" x14ac:dyDescent="0.25">
      <c r="A10" s="1">
        <f>'Imputed Data'!A10</f>
        <v>41518</v>
      </c>
      <c r="B10" s="1" t="str">
        <f>'Imputed Data'!B10</f>
        <v>Rural+Urban</v>
      </c>
      <c r="C10" s="2">
        <f>'Imputed Data'!C10</f>
        <v>2013</v>
      </c>
      <c r="D10" s="1" t="str">
        <f>'Imputed Data'!D10</f>
        <v>September</v>
      </c>
    </row>
    <row r="11" spans="1:31" x14ac:dyDescent="0.25">
      <c r="A11" s="1">
        <f>'Imputed Data'!A11</f>
        <v>41548</v>
      </c>
      <c r="B11" s="1" t="str">
        <f>'Imputed Data'!B11</f>
        <v>Rural+Urban</v>
      </c>
      <c r="C11" s="2">
        <f>'Imputed Data'!C11</f>
        <v>2013</v>
      </c>
      <c r="D11" s="1" t="str">
        <f>'Imputed Data'!D11</f>
        <v>October</v>
      </c>
    </row>
    <row r="12" spans="1:31" x14ac:dyDescent="0.25">
      <c r="A12" s="1">
        <f>'Imputed Data'!A12</f>
        <v>41579</v>
      </c>
      <c r="B12" s="1" t="str">
        <f>'Imputed Data'!B12</f>
        <v>Rural+Urban</v>
      </c>
      <c r="C12" s="2">
        <f>'Imputed Data'!C12</f>
        <v>2013</v>
      </c>
      <c r="D12" s="1" t="str">
        <f>'Imputed Data'!D12</f>
        <v>November</v>
      </c>
    </row>
    <row r="13" spans="1:31" x14ac:dyDescent="0.25">
      <c r="A13" s="1">
        <f>'Imputed Data'!A13</f>
        <v>41609</v>
      </c>
      <c r="B13" s="1" t="str">
        <f>'Imputed Data'!B13</f>
        <v>Rural+Urban</v>
      </c>
      <c r="C13" s="2">
        <f>'Imputed Data'!C13</f>
        <v>2013</v>
      </c>
      <c r="D13" s="1" t="str">
        <f>'Imputed Data'!D13</f>
        <v>December</v>
      </c>
    </row>
    <row r="14" spans="1:31" x14ac:dyDescent="0.25">
      <c r="A14" s="1">
        <f>'Imputed Data'!A14</f>
        <v>41640</v>
      </c>
      <c r="B14" s="1" t="str">
        <f>'Imputed Data'!B14</f>
        <v>Rural+Urban</v>
      </c>
      <c r="C14" s="2">
        <f>'Imputed Data'!C14</f>
        <v>2014</v>
      </c>
      <c r="D14" s="1" t="str">
        <f>'Imputed Data'!D14</f>
        <v>January</v>
      </c>
      <c r="E14" s="7">
        <f>('Imputed Data'!E14-'Imputed Data'!E2)/'Imputed Data'!E2</f>
        <v>0.10332103321033199</v>
      </c>
      <c r="F14" s="7">
        <f>('Imputed Data'!F14-'Imputed Data'!F2)/'Imputed Data'!F2</f>
        <v>0.10717614165890028</v>
      </c>
      <c r="G14" s="7">
        <f>('Imputed Data'!G14-'Imputed Data'!G2)/'Imputed Data'!G2</f>
        <v>0.12818181818181812</v>
      </c>
      <c r="H14" s="7">
        <f>('Imputed Data'!H14-'Imputed Data'!H2)/'Imputed Data'!H2</f>
        <v>9.2911877394635897E-2</v>
      </c>
      <c r="I14" s="7">
        <f>('Imputed Data'!I14-'Imputed Data'!I2)/'Imputed Data'!I2</f>
        <v>1.6175071360608972E-2</v>
      </c>
      <c r="J14" s="7">
        <f>('Imputed Data'!J14-'Imputed Data'!J2)/'Imputed Data'!J2</f>
        <v>0.10368217054263569</v>
      </c>
      <c r="K14" s="7">
        <f>('Imputed Data'!K14-'Imputed Data'!K2)/'Imputed Data'!K2</f>
        <v>0.19569471624266144</v>
      </c>
      <c r="L14" s="7">
        <f>('Imputed Data'!L14-'Imputed Data'!L2)/'Imputed Data'!L2</f>
        <v>2.7358490566037789E-2</v>
      </c>
      <c r="M14" s="7">
        <f>('Imputed Data'!M14-'Imputed Data'!M2)/'Imputed Data'!M2</f>
        <v>-5.6497175141242938E-2</v>
      </c>
      <c r="N14" s="7">
        <f>('Imputed Data'!N14-'Imputed Data'!N2)/'Imputed Data'!N2</f>
        <v>8.0817916260954206E-2</v>
      </c>
      <c r="O14" s="7">
        <f>('Imputed Data'!O14-'Imputed Data'!O2)/'Imputed Data'!O2</f>
        <v>7.0543374642516601E-2</v>
      </c>
      <c r="P14" s="7">
        <f>('Imputed Data'!P14-'Imputed Data'!P2)/'Imputed Data'!P2</f>
        <v>0.10065237651444546</v>
      </c>
      <c r="Q14" s="7">
        <f>('Imputed Data'!Q14-'Imputed Data'!Q2)/'Imputed Data'!Q2</f>
        <v>9.6590909090909116E-2</v>
      </c>
      <c r="R14" s="7">
        <f>('Imputed Data'!R14-'Imputed Data'!R2)/'Imputed Data'!R2</f>
        <v>8.9438629876308337E-2</v>
      </c>
      <c r="S14" s="7">
        <f>('Imputed Data'!S14-'Imputed Data'!S2)/'Imputed Data'!S2</f>
        <v>8.9369708372530582E-2</v>
      </c>
      <c r="T14" s="7">
        <f>('Imputed Data'!T14-'Imputed Data'!T2)/'Imputed Data'!T2</f>
        <v>7.2985781990521359E-2</v>
      </c>
      <c r="U14" s="7">
        <f>('Imputed Data'!U14-'Imputed Data'!U2)/'Imputed Data'!U2</f>
        <v>8.6629001883239201E-2</v>
      </c>
      <c r="V14" s="7">
        <f>('Imputed Data'!V14-'Imputed Data'!V2)/'Imputed Data'!V2</f>
        <v>0.1126620139581256</v>
      </c>
      <c r="W14" s="7">
        <f>('Imputed Data'!W14-'Imputed Data'!W2)/'Imputed Data'!W2</f>
        <v>6.3507109004739368E-2</v>
      </c>
      <c r="X14" s="7">
        <f>('Imputed Data'!X14-'Imputed Data'!X2)/'Imputed Data'!X2</f>
        <v>7.1564885496183214E-2</v>
      </c>
      <c r="Y14" s="7">
        <f>('Imputed Data'!Y14-'Imputed Data'!Y2)/'Imputed Data'!Y2</f>
        <v>6.0576923076923049E-2</v>
      </c>
      <c r="Z14" s="7">
        <f>('Imputed Data'!Z14-'Imputed Data'!Z2)/'Imputed Data'!Z2</f>
        <v>7.2674418604651167E-2</v>
      </c>
      <c r="AA14" s="7">
        <f>('Imputed Data'!AA14-'Imputed Data'!AA2)/'Imputed Data'!AA2</f>
        <v>6.4015518913676128E-2</v>
      </c>
      <c r="AB14" s="7">
        <f>('Imputed Data'!AB14-'Imputed Data'!AB2)/'Imputed Data'!AB2</f>
        <v>7.7220077220077218E-2</v>
      </c>
      <c r="AC14" s="7">
        <f>('Imputed Data'!AC14-'Imputed Data'!AC2)/'Imputed Data'!AC2</f>
        <v>3.5406698564593331E-2</v>
      </c>
      <c r="AD14" s="7">
        <f>('Imputed Data'!AD14-'Imputed Data'!AD2)/'Imputed Data'!AD2</f>
        <v>6.4485081809432035E-2</v>
      </c>
      <c r="AE14" s="7">
        <f>('Imputed Data'!AE14-'Imputed Data'!AE2)/'Imputed Data'!AE2</f>
        <v>8.6042065009560229E-2</v>
      </c>
    </row>
    <row r="15" spans="1:31" x14ac:dyDescent="0.25">
      <c r="A15" s="1">
        <f>'Imputed Data'!A15</f>
        <v>41671</v>
      </c>
      <c r="B15" s="1" t="str">
        <f>'Imputed Data'!B15</f>
        <v>Rural+Urban</v>
      </c>
      <c r="C15" s="2">
        <f>'Imputed Data'!C15</f>
        <v>2014</v>
      </c>
      <c r="D15" s="1" t="str">
        <f>'Imputed Data'!D15</f>
        <v>February</v>
      </c>
      <c r="E15" s="7">
        <f>('Imputed Data'!E15-'Imputed Data'!E3)/'Imputed Data'!E3</f>
        <v>8.876811594202895E-2</v>
      </c>
      <c r="F15" s="7">
        <f>('Imputed Data'!F15-'Imputed Data'!F3)/'Imputed Data'!F3</f>
        <v>8.1669691470054442E-2</v>
      </c>
      <c r="G15" s="7">
        <f>('Imputed Data'!G15-'Imputed Data'!G3)/'Imputed Data'!G3</f>
        <v>8.5992907801418467E-2</v>
      </c>
      <c r="H15" s="7">
        <f>('Imputed Data'!H15-'Imputed Data'!H3)/'Imputed Data'!H3</f>
        <v>9.7235462345090451E-2</v>
      </c>
      <c r="I15" s="7">
        <f>('Imputed Data'!I15-'Imputed Data'!I3)/'Imputed Data'!I3</f>
        <v>1.0426540284360136E-2</v>
      </c>
      <c r="J15" s="7">
        <f>('Imputed Data'!J15-'Imputed Data'!J3)/'Imputed Data'!J3</f>
        <v>0.11389961389961402</v>
      </c>
      <c r="K15" s="7">
        <f>('Imputed Data'!K15-'Imputed Data'!K3)/'Imputed Data'!K3</f>
        <v>0.10949612403100772</v>
      </c>
      <c r="L15" s="7">
        <f>('Imputed Data'!L15-'Imputed Data'!L3)/'Imputed Data'!L3</f>
        <v>3.7986704653371318E-2</v>
      </c>
      <c r="M15" s="7">
        <f>('Imputed Data'!M15-'Imputed Data'!M3)/'Imputed Data'!M3</f>
        <v>-5.6137012369172137E-2</v>
      </c>
      <c r="N15" s="7">
        <f>('Imputed Data'!N15-'Imputed Data'!N3)/'Imputed Data'!N3</f>
        <v>8.3657587548638224E-2</v>
      </c>
      <c r="O15" s="7">
        <f>('Imputed Data'!O15-'Imputed Data'!O3)/'Imputed Data'!O3</f>
        <v>6.7298578199052078E-2</v>
      </c>
      <c r="P15" s="7">
        <f>('Imputed Data'!P15-'Imputed Data'!P3)/'Imputed Data'!P3</f>
        <v>9.6952908587257622E-2</v>
      </c>
      <c r="Q15" s="7">
        <f>('Imputed Data'!Q15-'Imputed Data'!Q3)/'Imputed Data'!Q3</f>
        <v>8.1613508442776761E-2</v>
      </c>
      <c r="R15" s="7">
        <f>('Imputed Data'!R15-'Imputed Data'!R3)/'Imputed Data'!R3</f>
        <v>8.5146641438032161E-2</v>
      </c>
      <c r="S15" s="7">
        <f>('Imputed Data'!S15-'Imputed Data'!S3)/'Imputed Data'!S3</f>
        <v>8.8868101028999058E-2</v>
      </c>
      <c r="T15" s="7">
        <f>('Imputed Data'!T15-'Imputed Data'!T3)/'Imputed Data'!T3</f>
        <v>6.8867924528301858E-2</v>
      </c>
      <c r="U15" s="7">
        <f>('Imputed Data'!U15-'Imputed Data'!U3)/'Imputed Data'!U3</f>
        <v>8.5205992509363379E-2</v>
      </c>
      <c r="V15" s="7">
        <f>('Imputed Data'!V15-'Imputed Data'!V3)/'Imputed Data'!V3</f>
        <v>0.12051792828685252</v>
      </c>
      <c r="W15" s="7">
        <f>('Imputed Data'!W15-'Imputed Data'!W3)/'Imputed Data'!W3</f>
        <v>6.0377358490566094E-2</v>
      </c>
      <c r="X15" s="7">
        <f>('Imputed Data'!X15-'Imputed Data'!X3)/'Imputed Data'!X3</f>
        <v>7.22433460076045E-2</v>
      </c>
      <c r="Y15" s="7">
        <f>('Imputed Data'!Y15-'Imputed Data'!Y3)/'Imputed Data'!Y3</f>
        <v>5.9330143540669886E-2</v>
      </c>
      <c r="Z15" s="7">
        <f>('Imputed Data'!Z15-'Imputed Data'!Z3)/'Imputed Data'!Z3</f>
        <v>6.6218809980806065E-2</v>
      </c>
      <c r="AA15" s="7">
        <f>('Imputed Data'!AA15-'Imputed Data'!AA3)/'Imputed Data'!AA3</f>
        <v>6.2741312741312741E-2</v>
      </c>
      <c r="AB15" s="7">
        <f>('Imputed Data'!AB15-'Imputed Data'!AB3)/'Imputed Data'!AB3</f>
        <v>7.603464870067364E-2</v>
      </c>
      <c r="AC15" s="7">
        <f>('Imputed Data'!AC15-'Imputed Data'!AC3)/'Imputed Data'!AC3</f>
        <v>4.0191387559808639E-2</v>
      </c>
      <c r="AD15" s="7">
        <f>('Imputed Data'!AD15-'Imputed Data'!AD3)/'Imputed Data'!AD3</f>
        <v>6.2260536398467431E-2</v>
      </c>
      <c r="AE15" s="7">
        <f>('Imputed Data'!AE15-'Imputed Data'!AE3)/'Imputed Data'!AE3</f>
        <v>7.8822412155745467E-2</v>
      </c>
    </row>
    <row r="16" spans="1:31" x14ac:dyDescent="0.25">
      <c r="A16" s="1">
        <f>'Imputed Data'!A16</f>
        <v>41699</v>
      </c>
      <c r="B16" s="1" t="str">
        <f>'Imputed Data'!B16</f>
        <v>Rural+Urban</v>
      </c>
      <c r="C16" s="2">
        <f>'Imputed Data'!C16</f>
        <v>2014</v>
      </c>
      <c r="D16" s="1" t="str">
        <f>'Imputed Data'!D16</f>
        <v>March</v>
      </c>
      <c r="E16" s="7">
        <f>('Imputed Data'!E16-'Imputed Data'!E4)/'Imputed Data'!E4</f>
        <v>8.3482944344703741E-2</v>
      </c>
      <c r="F16" s="7">
        <f>('Imputed Data'!F16-'Imputed Data'!F4)/'Imputed Data'!F4</f>
        <v>8.7511394712853185E-2</v>
      </c>
      <c r="G16" s="7">
        <f>('Imputed Data'!G16-'Imputed Data'!G4)/'Imputed Data'!G4</f>
        <v>8.8129496402877663E-2</v>
      </c>
      <c r="H16" s="7">
        <f>('Imputed Data'!H16-'Imputed Data'!H4)/'Imputed Data'!H4</f>
        <v>0.10466222645099905</v>
      </c>
      <c r="I16" s="7">
        <f>('Imputed Data'!I16-'Imputed Data'!I4)/'Imputed Data'!I4</f>
        <v>1.9065776930409912E-2</v>
      </c>
      <c r="J16" s="7">
        <f>('Imputed Data'!J16-'Imputed Data'!J4)/'Imputed Data'!J4</f>
        <v>0.12725546058879397</v>
      </c>
      <c r="K16" s="7">
        <f>('Imputed Data'!K16-'Imputed Data'!K4)/'Imputed Data'!K4</f>
        <v>0.13796477495107626</v>
      </c>
      <c r="L16" s="7">
        <f>('Imputed Data'!L16-'Imputed Data'!L4)/'Imputed Data'!L4</f>
        <v>4.5714285714285686E-2</v>
      </c>
      <c r="M16" s="7">
        <f>('Imputed Data'!M16-'Imputed Data'!M4)/'Imputed Data'!M4</f>
        <v>-4.4145873320537508E-2</v>
      </c>
      <c r="N16" s="7">
        <f>('Imputed Data'!N16-'Imputed Data'!N4)/'Imputed Data'!N4</f>
        <v>8.5436893203883466E-2</v>
      </c>
      <c r="O16" s="7">
        <f>('Imputed Data'!O16-'Imputed Data'!O4)/'Imputed Data'!O4</f>
        <v>6.120527306967985E-2</v>
      </c>
      <c r="P16" s="7">
        <f>('Imputed Data'!P16-'Imputed Data'!P4)/'Imputed Data'!P4</f>
        <v>9.5500459136822688E-2</v>
      </c>
      <c r="Q16" s="7">
        <f>('Imputed Data'!Q16-'Imputed Data'!Q4)/'Imputed Data'!Q4</f>
        <v>8.6061739943872673E-2</v>
      </c>
      <c r="R16" s="7">
        <f>('Imputed Data'!R16-'Imputed Data'!R4)/'Imputed Data'!R4</f>
        <v>8.0675422138836855E-2</v>
      </c>
      <c r="S16" s="7">
        <f>('Imputed Data'!S16-'Imputed Data'!S4)/'Imputed Data'!S4</f>
        <v>8.7523277467411467E-2</v>
      </c>
      <c r="T16" s="7">
        <f>('Imputed Data'!T16-'Imputed Data'!T4)/'Imputed Data'!T4</f>
        <v>6.7605633802816922E-2</v>
      </c>
      <c r="U16" s="7">
        <f>('Imputed Data'!U16-'Imputed Data'!U4)/'Imputed Data'!U4</f>
        <v>8.4808946877912475E-2</v>
      </c>
      <c r="V16" s="7">
        <f>('Imputed Data'!V16-'Imputed Data'!V4)/'Imputed Data'!V4</f>
        <v>0.12749003984063742</v>
      </c>
      <c r="W16" s="7">
        <f>('Imputed Data'!W16-'Imputed Data'!W4)/'Imputed Data'!W4</f>
        <v>6.0320452403393079E-2</v>
      </c>
      <c r="X16" s="7">
        <f>('Imputed Data'!X16-'Imputed Data'!X4)/'Imputed Data'!X4</f>
        <v>7.1969696969697058E-2</v>
      </c>
      <c r="Y16" s="7">
        <f>('Imputed Data'!Y16-'Imputed Data'!Y4)/'Imputed Data'!Y4</f>
        <v>6.00571973307912E-2</v>
      </c>
      <c r="Z16" s="7">
        <f>('Imputed Data'!Z16-'Imputed Data'!Z4)/'Imputed Data'!Z4</f>
        <v>5.9942911512845018E-2</v>
      </c>
      <c r="AA16" s="7">
        <f>('Imputed Data'!AA16-'Imputed Data'!AA4)/'Imputed Data'!AA4</f>
        <v>6.6538090646094422E-2</v>
      </c>
      <c r="AB16" s="7">
        <f>('Imputed Data'!AB16-'Imputed Data'!AB4)/'Imputed Data'!AB4</f>
        <v>7.6923076923076927E-2</v>
      </c>
      <c r="AC16" s="7">
        <f>('Imputed Data'!AC16-'Imputed Data'!AC4)/'Imputed Data'!AC4</f>
        <v>4.5062320230105493E-2</v>
      </c>
      <c r="AD16" s="7">
        <f>('Imputed Data'!AD16-'Imputed Data'!AD4)/'Imputed Data'!AD4</f>
        <v>6.3037249283667565E-2</v>
      </c>
      <c r="AE16" s="7">
        <f>('Imputed Data'!AE16-'Imputed Data'!AE4)/'Imputed Data'!AE4</f>
        <v>8.246445497630335E-2</v>
      </c>
    </row>
    <row r="17" spans="1:31" x14ac:dyDescent="0.25">
      <c r="A17" s="1">
        <f>'Imputed Data'!A17</f>
        <v>41730</v>
      </c>
      <c r="B17" s="1" t="str">
        <f>'Imputed Data'!B17</f>
        <v>Rural+Urban</v>
      </c>
      <c r="C17" s="2">
        <f>'Imputed Data'!C17</f>
        <v>2014</v>
      </c>
      <c r="D17" s="1" t="str">
        <f>'Imputed Data'!D17</f>
        <v>April</v>
      </c>
      <c r="E17" s="7">
        <f>('Imputed Data'!E17-'Imputed Data'!E5)/'Imputed Data'!E5</f>
        <v>8.333333333333344E-2</v>
      </c>
      <c r="F17" s="7">
        <f>('Imputed Data'!F17-'Imputed Data'!F5)/'Imputed Data'!F5</f>
        <v>8.1154192966636604E-2</v>
      </c>
      <c r="G17" s="7">
        <f>('Imputed Data'!G17-'Imputed Data'!G5)/'Imputed Data'!G5</f>
        <v>9.0056285178236481E-2</v>
      </c>
      <c r="H17" s="7">
        <f>('Imputed Data'!H17-'Imputed Data'!H5)/'Imputed Data'!H5</f>
        <v>0.10690633869441814</v>
      </c>
      <c r="I17" s="7">
        <f>('Imputed Data'!I17-'Imputed Data'!I5)/'Imputed Data'!I5</f>
        <v>2.7777777777777693E-2</v>
      </c>
      <c r="J17" s="7">
        <f>('Imputed Data'!J17-'Imputed Data'!J5)/'Imputed Data'!J5</f>
        <v>0.15794306703397601</v>
      </c>
      <c r="K17" s="7">
        <f>('Imputed Data'!K17-'Imputed Data'!K5)/'Imputed Data'!K5</f>
        <v>0.14407582938388627</v>
      </c>
      <c r="L17" s="7">
        <f>('Imputed Data'!L17-'Imputed Data'!L5)/'Imputed Data'!L5</f>
        <v>5.4131054131054158E-2</v>
      </c>
      <c r="M17" s="7">
        <f>('Imputed Data'!M17-'Imputed Data'!M5)/'Imputed Data'!M5</f>
        <v>-1.6425120772946888E-2</v>
      </c>
      <c r="N17" s="7">
        <f>('Imputed Data'!N17-'Imputed Data'!N5)/'Imputed Data'!N5</f>
        <v>9.0029041626331047E-2</v>
      </c>
      <c r="O17" s="7">
        <f>('Imputed Data'!O17-'Imputed Data'!O5)/'Imputed Data'!O5</f>
        <v>5.5970149253731345E-2</v>
      </c>
      <c r="P17" s="7">
        <f>('Imputed Data'!P17-'Imputed Data'!P5)/'Imputed Data'!P5</f>
        <v>9.3065693430656959E-2</v>
      </c>
      <c r="Q17" s="7">
        <f>('Imputed Data'!Q17-'Imputed Data'!Q5)/'Imputed Data'!Q5</f>
        <v>9.1922005571030557E-2</v>
      </c>
      <c r="R17" s="7">
        <f>('Imputed Data'!R17-'Imputed Data'!R5)/'Imputed Data'!R5</f>
        <v>7.9069767441860464E-2</v>
      </c>
      <c r="S17" s="7">
        <f>('Imputed Data'!S17-'Imputed Data'!S5)/'Imputed Data'!S5</f>
        <v>8.7037037037037093E-2</v>
      </c>
      <c r="T17" s="7">
        <f>('Imputed Data'!T17-'Imputed Data'!T5)/'Imputed Data'!T5</f>
        <v>7.102803738317752E-2</v>
      </c>
      <c r="U17" s="7">
        <f>('Imputed Data'!U17-'Imputed Data'!U5)/'Imputed Data'!U5</f>
        <v>8.43373493975903E-2</v>
      </c>
      <c r="V17" s="7">
        <f>('Imputed Data'!V17-'Imputed Data'!V5)/'Imputed Data'!V5</f>
        <v>0.13333333333333339</v>
      </c>
      <c r="W17" s="7">
        <f>('Imputed Data'!W17-'Imputed Data'!W5)/'Imputed Data'!W5</f>
        <v>5.6338028169014086E-2</v>
      </c>
      <c r="X17" s="7">
        <f>('Imputed Data'!X17-'Imputed Data'!X5)/'Imputed Data'!X5</f>
        <v>6.8673565380997156E-2</v>
      </c>
      <c r="Y17" s="7">
        <f>('Imputed Data'!Y17-'Imputed Data'!Y5)/'Imputed Data'!Y5</f>
        <v>5.8879392212725576E-2</v>
      </c>
      <c r="Z17" s="7">
        <f>('Imputed Data'!Z17-'Imputed Data'!Z5)/'Imputed Data'!Z5</f>
        <v>6.2082139446036293E-2</v>
      </c>
      <c r="AA17" s="7">
        <f>('Imputed Data'!AA17-'Imputed Data'!AA5)/'Imputed Data'!AA5</f>
        <v>6.4299424184261059E-2</v>
      </c>
      <c r="AB17" s="7">
        <f>('Imputed Data'!AB17-'Imputed Data'!AB5)/'Imputed Data'!AB5</f>
        <v>7.3333333333333361E-2</v>
      </c>
      <c r="AC17" s="7">
        <f>('Imputed Data'!AC17-'Imputed Data'!AC5)/'Imputed Data'!AC5</f>
        <v>5.9280855199222486E-2</v>
      </c>
      <c r="AD17" s="7">
        <f>('Imputed Data'!AD17-'Imputed Data'!AD5)/'Imputed Data'!AD5</f>
        <v>6.3931297709923687E-2</v>
      </c>
      <c r="AE17" s="7">
        <f>('Imputed Data'!AE17-'Imputed Data'!AE5)/'Imputed Data'!AE5</f>
        <v>8.4825636192271445E-2</v>
      </c>
    </row>
    <row r="18" spans="1:31" x14ac:dyDescent="0.25">
      <c r="A18" s="1">
        <f>'Imputed Data'!A18</f>
        <v>41760</v>
      </c>
      <c r="B18" s="1" t="str">
        <f>'Imputed Data'!B18</f>
        <v>Rural+Urban</v>
      </c>
      <c r="C18" s="2">
        <f>'Imputed Data'!C18</f>
        <v>2014</v>
      </c>
      <c r="D18" s="1" t="str">
        <f>'Imputed Data'!D18</f>
        <v>May</v>
      </c>
      <c r="E18" s="7">
        <f>('Imputed Data'!E18-'Imputed Data'!E6)/'Imputed Data'!E6</f>
        <v>7.8361531611754201E-2</v>
      </c>
      <c r="F18" s="7">
        <f>('Imputed Data'!F18-'Imputed Data'!F6)/'Imputed Data'!F6</f>
        <v>9.2542677448337801E-2</v>
      </c>
      <c r="G18" s="7">
        <f>('Imputed Data'!G18-'Imputed Data'!G6)/'Imputed Data'!G6</f>
        <v>0.10697230181470871</v>
      </c>
      <c r="H18" s="7">
        <f>('Imputed Data'!H18-'Imputed Data'!H6)/'Imputed Data'!H6</f>
        <v>0.10861423220973791</v>
      </c>
      <c r="I18" s="7">
        <f>('Imputed Data'!I18-'Imputed Data'!I6)/'Imputed Data'!I6</f>
        <v>3.6573628488931635E-2</v>
      </c>
      <c r="J18" s="7">
        <f>('Imputed Data'!J18-'Imputed Data'!J6)/'Imputed Data'!J6</f>
        <v>0.16834400731930471</v>
      </c>
      <c r="K18" s="7">
        <f>('Imputed Data'!K18-'Imputed Data'!K6)/'Imputed Data'!K6</f>
        <v>0.10717449069973423</v>
      </c>
      <c r="L18" s="7">
        <f>('Imputed Data'!L18-'Imputed Data'!L6)/'Imputed Data'!L6</f>
        <v>5.7655954631380048E-2</v>
      </c>
      <c r="M18" s="7">
        <f>('Imputed Data'!M18-'Imputed Data'!M6)/'Imputed Data'!M6</f>
        <v>-2.9097963142579743E-3</v>
      </c>
      <c r="N18" s="7">
        <f>('Imputed Data'!N18-'Imputed Data'!N6)/'Imputed Data'!N6</f>
        <v>8.7248322147651089E-2</v>
      </c>
      <c r="O18" s="7">
        <f>('Imputed Data'!O18-'Imputed Data'!O6)/'Imputed Data'!O6</f>
        <v>5.1803885291396935E-2</v>
      </c>
      <c r="P18" s="7">
        <f>('Imputed Data'!P18-'Imputed Data'!P6)/'Imputed Data'!P6</f>
        <v>8.9592760180995532E-2</v>
      </c>
      <c r="Q18" s="7">
        <f>('Imputed Data'!Q18-'Imputed Data'!Q6)/'Imputed Data'!Q6</f>
        <v>8.8827838827838845E-2</v>
      </c>
      <c r="R18" s="7">
        <f>('Imputed Data'!R18-'Imputed Data'!R6)/'Imputed Data'!R6</f>
        <v>7.5506445672191558E-2</v>
      </c>
      <c r="S18" s="7">
        <f>('Imputed Data'!S18-'Imputed Data'!S6)/'Imputed Data'!S6</f>
        <v>8.5556577736890502E-2</v>
      </c>
      <c r="T18" s="7">
        <f>('Imputed Data'!T18-'Imputed Data'!T6)/'Imputed Data'!T6</f>
        <v>7.2625698324022311E-2</v>
      </c>
      <c r="U18" s="7">
        <f>('Imputed Data'!U18-'Imputed Data'!U6)/'Imputed Data'!U6</f>
        <v>8.3870967741935434E-2</v>
      </c>
      <c r="V18" s="7">
        <f>('Imputed Data'!V18-'Imputed Data'!V6)/'Imputed Data'!V6</f>
        <v>0.13731343283582087</v>
      </c>
      <c r="W18" s="7">
        <f>('Imputed Data'!W18-'Imputed Data'!W6)/'Imputed Data'!W6</f>
        <v>4.7486033519553016E-2</v>
      </c>
      <c r="X18" s="7">
        <f>('Imputed Data'!X18-'Imputed Data'!X6)/'Imputed Data'!X6</f>
        <v>6.7352666043030765E-2</v>
      </c>
      <c r="Y18" s="7">
        <f>('Imputed Data'!Y18-'Imputed Data'!Y6)/'Imputed Data'!Y6</f>
        <v>5.5712936732766678E-2</v>
      </c>
      <c r="Z18" s="7">
        <f>('Imputed Data'!Z18-'Imputed Data'!Z6)/'Imputed Data'!Z6</f>
        <v>7.0192307692307665E-2</v>
      </c>
      <c r="AA18" s="7">
        <f>('Imputed Data'!AA18-'Imputed Data'!AA6)/'Imputed Data'!AA6</f>
        <v>6.1068702290076389E-2</v>
      </c>
      <c r="AB18" s="7">
        <f>('Imputed Data'!AB18-'Imputed Data'!AB6)/'Imputed Data'!AB6</f>
        <v>7.0075757575757638E-2</v>
      </c>
      <c r="AC18" s="7">
        <f>('Imputed Data'!AC18-'Imputed Data'!AC6)/'Imputed Data'!AC6</f>
        <v>6.6471163245356762E-2</v>
      </c>
      <c r="AD18" s="7">
        <f>('Imputed Data'!AD18-'Imputed Data'!AD6)/'Imputed Data'!AD6</f>
        <v>6.6793893129770993E-2</v>
      </c>
      <c r="AE18" s="7">
        <f>('Imputed Data'!AE18-'Imputed Data'!AE6)/'Imputed Data'!AE6</f>
        <v>8.3255378858746412E-2</v>
      </c>
    </row>
    <row r="19" spans="1:31" x14ac:dyDescent="0.25">
      <c r="A19" s="1">
        <f>'Imputed Data'!A19</f>
        <v>41791</v>
      </c>
      <c r="B19" s="1" t="str">
        <f>'Imputed Data'!B19</f>
        <v>Rural+Urban</v>
      </c>
      <c r="C19" s="2">
        <f>'Imputed Data'!C19</f>
        <v>2014</v>
      </c>
      <c r="D19" s="1" t="str">
        <f>'Imputed Data'!D19</f>
        <v>June</v>
      </c>
      <c r="E19" s="7">
        <f>('Imputed Data'!E19-'Imputed Data'!E7)/'Imputed Data'!E7</f>
        <v>6.7662565905096686E-2</v>
      </c>
      <c r="F19" s="7">
        <f>('Imputed Data'!F19-'Imputed Data'!F7)/'Imputed Data'!F7</f>
        <v>7.1366405570060826E-2</v>
      </c>
      <c r="G19" s="7">
        <f>('Imputed Data'!G19-'Imputed Data'!G7)/'Imputed Data'!G7</f>
        <v>5.4644808743169397E-2</v>
      </c>
      <c r="H19" s="7">
        <f>('Imputed Data'!H19-'Imputed Data'!H7)/'Imputed Data'!H7</f>
        <v>0.10936051899907319</v>
      </c>
      <c r="I19" s="7">
        <f>('Imputed Data'!I19-'Imputed Data'!I7)/'Imputed Data'!I7</f>
        <v>3.4548944337811846E-2</v>
      </c>
      <c r="J19" s="7">
        <f>('Imputed Data'!J19-'Imputed Data'!J7)/'Imputed Data'!J7</f>
        <v>0.15898825654923224</v>
      </c>
      <c r="K19" s="7">
        <f>('Imputed Data'!K19-'Imputed Data'!K7)/'Imputed Data'!K7</f>
        <v>4.2620363062351944E-2</v>
      </c>
      <c r="L19" s="7">
        <f>('Imputed Data'!L19-'Imputed Data'!L7)/'Imputed Data'!L7</f>
        <v>5.7384760112888136E-2</v>
      </c>
      <c r="M19" s="7">
        <f>('Imputed Data'!M19-'Imputed Data'!M7)/'Imputed Data'!M7</f>
        <v>-2.9069767441860187E-3</v>
      </c>
      <c r="N19" s="7">
        <f>('Imputed Data'!N19-'Imputed Data'!N7)/'Imputed Data'!N7</f>
        <v>8.1362346263008464E-2</v>
      </c>
      <c r="O19" s="7">
        <f>('Imputed Data'!O19-'Imputed Data'!O7)/'Imputed Data'!O7</f>
        <v>4.7706422018348647E-2</v>
      </c>
      <c r="P19" s="7">
        <f>('Imputed Data'!P19-'Imputed Data'!P7)/'Imputed Data'!P7</f>
        <v>8.6021505376344162E-2</v>
      </c>
      <c r="Q19" s="7">
        <f>('Imputed Data'!Q19-'Imputed Data'!Q7)/'Imputed Data'!Q7</f>
        <v>7.3083778966131926E-2</v>
      </c>
      <c r="R19" s="7">
        <f>('Imputed Data'!R19-'Imputed Data'!R7)/'Imputed Data'!R7</f>
        <v>7.5799086757990838E-2</v>
      </c>
      <c r="S19" s="7">
        <f>('Imputed Data'!S19-'Imputed Data'!S7)/'Imputed Data'!S7</f>
        <v>8.4931506849315039E-2</v>
      </c>
      <c r="T19" s="7">
        <f>('Imputed Data'!T19-'Imputed Data'!T7)/'Imputed Data'!T7</f>
        <v>6.9380203515263653E-2</v>
      </c>
      <c r="U19" s="7">
        <f>('Imputed Data'!U19-'Imputed Data'!U7)/'Imputed Data'!U7</f>
        <v>8.2342177493138158E-2</v>
      </c>
      <c r="V19" s="7">
        <f>('Imputed Data'!V19-'Imputed Data'!V7)/'Imputed Data'!V7</f>
        <v>6.8480300187617374E-2</v>
      </c>
      <c r="W19" s="7">
        <f>('Imputed Data'!W19-'Imputed Data'!W7)/'Imputed Data'!W7</f>
        <v>4.5244690674053609E-2</v>
      </c>
      <c r="X19" s="7">
        <f>('Imputed Data'!X19-'Imputed Data'!X7)/'Imputed Data'!X7</f>
        <v>6.5055762081784388E-2</v>
      </c>
      <c r="Y19" s="7">
        <f>('Imputed Data'!Y19-'Imputed Data'!Y7)/'Imputed Data'!Y7</f>
        <v>5.5451127819548786E-2</v>
      </c>
      <c r="Z19" s="7">
        <f>('Imputed Data'!Z19-'Imputed Data'!Z7)/'Imputed Data'!Z7</f>
        <v>6.3748810656517635E-2</v>
      </c>
      <c r="AA19" s="7">
        <f>('Imputed Data'!AA19-'Imputed Data'!AA7)/'Imputed Data'!AA7</f>
        <v>5.8823529411764594E-2</v>
      </c>
      <c r="AB19" s="7">
        <f>('Imputed Data'!AB19-'Imputed Data'!AB7)/'Imputed Data'!AB7</f>
        <v>6.890130353817496E-2</v>
      </c>
      <c r="AC19" s="7">
        <f>('Imputed Data'!AC19-'Imputed Data'!AC7)/'Imputed Data'!AC7</f>
        <v>5.3501945525291833E-2</v>
      </c>
      <c r="AD19" s="7">
        <f>('Imputed Data'!AD19-'Imputed Data'!AD7)/'Imputed Data'!AD7</f>
        <v>6.1436672967863898E-2</v>
      </c>
      <c r="AE19" s="7">
        <f>('Imputed Data'!AE19-'Imputed Data'!AE7)/'Imputed Data'!AE7</f>
        <v>6.7703568161024755E-2</v>
      </c>
    </row>
    <row r="20" spans="1:31" x14ac:dyDescent="0.25">
      <c r="A20" s="1">
        <f>'Imputed Data'!A20</f>
        <v>41821</v>
      </c>
      <c r="B20" s="1" t="str">
        <f>'Imputed Data'!B20</f>
        <v>Rural+Urban</v>
      </c>
      <c r="C20" s="2">
        <f>'Imputed Data'!C20</f>
        <v>2014</v>
      </c>
      <c r="D20" s="1" t="str">
        <f>'Imputed Data'!D20</f>
        <v>July</v>
      </c>
      <c r="E20" s="7">
        <f>('Imputed Data'!E20-'Imputed Data'!E8)/'Imputed Data'!E8</f>
        <v>6.6202090592334575E-2</v>
      </c>
      <c r="F20" s="7">
        <f>('Imputed Data'!F20-'Imputed Data'!F8)/'Imputed Data'!F8</f>
        <v>6.4432989690721643E-2</v>
      </c>
      <c r="G20" s="7">
        <f>('Imputed Data'!G20-'Imputed Data'!G8)/'Imputed Data'!G8</f>
        <v>5.2725647899910556E-2</v>
      </c>
      <c r="H20" s="7">
        <f>('Imputed Data'!H20-'Imputed Data'!H8)/'Imputed Data'!H8</f>
        <v>0.11111111111111105</v>
      </c>
      <c r="I20" s="7">
        <f>('Imputed Data'!I20-'Imputed Data'!I8)/'Imputed Data'!I8</f>
        <v>3.4515819750719164E-2</v>
      </c>
      <c r="J20" s="7">
        <f>('Imputed Data'!J20-'Imputed Data'!J8)/'Imputed Data'!J8</f>
        <v>0.17457475380483425</v>
      </c>
      <c r="K20" s="7">
        <f>('Imputed Data'!K20-'Imputed Data'!K8)/'Imputed Data'!K8</f>
        <v>0.12642857142857133</v>
      </c>
      <c r="L20" s="7">
        <f>('Imputed Data'!L20-'Imputed Data'!L8)/'Imputed Data'!L8</f>
        <v>6.3909774436090194E-2</v>
      </c>
      <c r="M20" s="7">
        <f>('Imputed Data'!M20-'Imputed Data'!M8)/'Imputed Data'!M8</f>
        <v>7.7444336882865165E-3</v>
      </c>
      <c r="N20" s="7">
        <f>('Imputed Data'!N20-'Imputed Data'!N8)/'Imputed Data'!N8</f>
        <v>8.1460674157303403E-2</v>
      </c>
      <c r="O20" s="7">
        <f>('Imputed Data'!O20-'Imputed Data'!O8)/'Imputed Data'!O8</f>
        <v>4.744525547445258E-2</v>
      </c>
      <c r="P20" s="7">
        <f>('Imputed Data'!P20-'Imputed Data'!P8)/'Imputed Data'!P8</f>
        <v>8.436944937833038E-2</v>
      </c>
      <c r="Q20" s="7">
        <f>('Imputed Data'!Q20-'Imputed Data'!Q8)/'Imputed Data'!Q8</f>
        <v>8.7183958151700089E-2</v>
      </c>
      <c r="R20" s="7">
        <f>('Imputed Data'!R20-'Imputed Data'!R8)/'Imputed Data'!R8</f>
        <v>7.7062556663644602E-2</v>
      </c>
      <c r="S20" s="7">
        <f>('Imputed Data'!S20-'Imputed Data'!S8)/'Imputed Data'!S8</f>
        <v>8.5299455535390117E-2</v>
      </c>
      <c r="T20" s="7">
        <f>('Imputed Data'!T20-'Imputed Data'!T8)/'Imputed Data'!T8</f>
        <v>6.893382352941177E-2</v>
      </c>
      <c r="U20" s="7">
        <f>('Imputed Data'!U20-'Imputed Data'!U8)/'Imputed Data'!U8</f>
        <v>8.2727272727272677E-2</v>
      </c>
      <c r="V20" s="7">
        <f>('Imputed Data'!V20-'Imputed Data'!V8)/'Imputed Data'!V8</f>
        <v>6.5923862581244136E-2</v>
      </c>
      <c r="W20" s="7">
        <f>('Imputed Data'!W20-'Imputed Data'!W8)/'Imputed Data'!W8</f>
        <v>4.3040293040293068E-2</v>
      </c>
      <c r="X20" s="7">
        <f>('Imputed Data'!X20-'Imputed Data'!X8)/'Imputed Data'!X8</f>
        <v>6.4695009242144177E-2</v>
      </c>
      <c r="Y20" s="7">
        <f>('Imputed Data'!Y20-'Imputed Data'!Y8)/'Imputed Data'!Y8</f>
        <v>5.3271028037383206E-2</v>
      </c>
      <c r="Z20" s="7">
        <f>('Imputed Data'!Z20-'Imputed Data'!Z8)/'Imputed Data'!Z8</f>
        <v>5.6022408963585436E-2</v>
      </c>
      <c r="AA20" s="7">
        <f>('Imputed Data'!AA20-'Imputed Data'!AA8)/'Imputed Data'!AA8</f>
        <v>5.6550424128180968E-2</v>
      </c>
      <c r="AB20" s="7">
        <f>('Imputed Data'!AB20-'Imputed Data'!AB8)/'Imputed Data'!AB8</f>
        <v>7.0577451879010114E-2</v>
      </c>
      <c r="AC20" s="7">
        <f>('Imputed Data'!AC20-'Imputed Data'!AC8)/'Imputed Data'!AC8</f>
        <v>6.2256809338521457E-2</v>
      </c>
      <c r="AD20" s="7">
        <f>('Imputed Data'!AD20-'Imputed Data'!AD8)/'Imputed Data'!AD8</f>
        <v>5.9869036482694024E-2</v>
      </c>
      <c r="AE20" s="7">
        <f>('Imputed Data'!AE20-'Imputed Data'!AE8)/'Imputed Data'!AE8</f>
        <v>7.3873873873873896E-2</v>
      </c>
    </row>
    <row r="21" spans="1:31" x14ac:dyDescent="0.25">
      <c r="A21" s="1">
        <f>'Imputed Data'!A21</f>
        <v>41852</v>
      </c>
      <c r="B21" s="1" t="str">
        <f>'Imputed Data'!B21</f>
        <v>Rural+Urban</v>
      </c>
      <c r="C21" s="2">
        <f>'Imputed Data'!C21</f>
        <v>2014</v>
      </c>
      <c r="D21" s="1" t="str">
        <f>'Imputed Data'!D21</f>
        <v>August</v>
      </c>
      <c r="E21" s="7">
        <f>('Imputed Data'!E21-'Imputed Data'!E9)/'Imputed Data'!E9</f>
        <v>6.141868512110734E-2</v>
      </c>
      <c r="F21" s="7">
        <f>('Imputed Data'!F21-'Imputed Data'!F9)/'Imputed Data'!F9</f>
        <v>6.1433447098976135E-2</v>
      </c>
      <c r="G21" s="7">
        <f>('Imputed Data'!G21-'Imputed Data'!G9)/'Imputed Data'!G9</f>
        <v>5.0134288272157511E-2</v>
      </c>
      <c r="H21" s="7">
        <f>('Imputed Data'!H21-'Imputed Data'!H9)/'Imputed Data'!H9</f>
        <v>0.11313868613138692</v>
      </c>
      <c r="I21" s="7">
        <f>('Imputed Data'!I21-'Imputed Data'!I9)/'Imputed Data'!I9</f>
        <v>3.3492822966507178E-2</v>
      </c>
      <c r="J21" s="7">
        <f>('Imputed Data'!J21-'Imputed Data'!J9)/'Imputed Data'!J9</f>
        <v>0.19398907103825133</v>
      </c>
      <c r="K21" s="7">
        <f>('Imputed Data'!K21-'Imputed Data'!K9)/'Imputed Data'!K9</f>
        <v>0.10803689064558614</v>
      </c>
      <c r="L21" s="7">
        <f>('Imputed Data'!L21-'Imputed Data'!L9)/'Imputed Data'!L9</f>
        <v>7.5117370892018781E-2</v>
      </c>
      <c r="M21" s="7">
        <f>('Imputed Data'!M21-'Imputed Data'!M9)/'Imputed Data'!M9</f>
        <v>1.1639185257032036E-2</v>
      </c>
      <c r="N21" s="7">
        <f>('Imputed Data'!N21-'Imputed Data'!N9)/'Imputed Data'!N9</f>
        <v>9.0316573556796911E-2</v>
      </c>
      <c r="O21" s="7">
        <f>('Imputed Data'!O21-'Imputed Data'!O9)/'Imputed Data'!O9</f>
        <v>4.5372050816696916E-2</v>
      </c>
      <c r="P21" s="7">
        <f>('Imputed Data'!P21-'Imputed Data'!P9)/'Imputed Data'!P9</f>
        <v>8.5537918871252103E-2</v>
      </c>
      <c r="Q21" s="7">
        <f>('Imputed Data'!Q21-'Imputed Data'!Q9)/'Imputed Data'!Q9</f>
        <v>8.5763293310463132E-2</v>
      </c>
      <c r="R21" s="7">
        <f>('Imputed Data'!R21-'Imputed Data'!R9)/'Imputed Data'!R9</f>
        <v>7.8237410071942473E-2</v>
      </c>
      <c r="S21" s="7">
        <f>('Imputed Data'!S21-'Imputed Data'!S9)/'Imputed Data'!S9</f>
        <v>8.1081081081081086E-2</v>
      </c>
      <c r="T21" s="7">
        <f>('Imputed Data'!T21-'Imputed Data'!T9)/'Imputed Data'!T9</f>
        <v>6.7641681901279629E-2</v>
      </c>
      <c r="U21" s="7">
        <f>('Imputed Data'!U21-'Imputed Data'!U9)/'Imputed Data'!U9</f>
        <v>8.0397470641372995E-2</v>
      </c>
      <c r="V21" s="7">
        <f>('Imputed Data'!V21-'Imputed Data'!V9)/'Imputed Data'!V9</f>
        <v>6.0606060606060552E-2</v>
      </c>
      <c r="W21" s="7">
        <f>('Imputed Data'!W21-'Imputed Data'!W9)/'Imputed Data'!W9</f>
        <v>3.9197812215132154E-2</v>
      </c>
      <c r="X21" s="7">
        <f>('Imputed Data'!X21-'Imputed Data'!X9)/'Imputed Data'!X9</f>
        <v>6.3477460901563851E-2</v>
      </c>
      <c r="Y21" s="7">
        <f>('Imputed Data'!Y21-'Imputed Data'!Y9)/'Imputed Data'!Y9</f>
        <v>5.3953488372092996E-2</v>
      </c>
      <c r="Z21" s="7">
        <f>('Imputed Data'!Z21-'Imputed Data'!Z9)/'Imputed Data'!Z9</f>
        <v>4.4444444444444418E-2</v>
      </c>
      <c r="AA21" s="7">
        <f>('Imputed Data'!AA21-'Imputed Data'!AA9)/'Imputed Data'!AA9</f>
        <v>5.6285178236397754E-2</v>
      </c>
      <c r="AB21" s="7">
        <f>('Imputed Data'!AB21-'Imputed Data'!AB9)/'Imputed Data'!AB9</f>
        <v>7.3703366696997216E-2</v>
      </c>
      <c r="AC21" s="7">
        <f>('Imputed Data'!AC21-'Imputed Data'!AC9)/'Imputed Data'!AC9</f>
        <v>4.2694497153700189E-2</v>
      </c>
      <c r="AD21" s="7">
        <f>('Imputed Data'!AD21-'Imputed Data'!AD9)/'Imputed Data'!AD9</f>
        <v>5.3753475440222402E-2</v>
      </c>
      <c r="AE21" s="7">
        <f>('Imputed Data'!AE21-'Imputed Data'!AE9)/'Imputed Data'!AE9</f>
        <v>7.0284697508896724E-2</v>
      </c>
    </row>
    <row r="22" spans="1:31" x14ac:dyDescent="0.25">
      <c r="A22" s="1">
        <f>'Imputed Data'!A22</f>
        <v>41883</v>
      </c>
      <c r="B22" s="1" t="str">
        <f>'Imputed Data'!B22</f>
        <v>Rural+Urban</v>
      </c>
      <c r="C22" s="2">
        <f>'Imputed Data'!C22</f>
        <v>2014</v>
      </c>
      <c r="D22" s="1" t="str">
        <f>'Imputed Data'!D22</f>
        <v>September</v>
      </c>
      <c r="E22" s="7">
        <f>('Imputed Data'!E22-'Imputed Data'!E10)/'Imputed Data'!E10</f>
        <v>5.5841924398625425E-2</v>
      </c>
      <c r="F22" s="7">
        <f>('Imputed Data'!F22-'Imputed Data'!F10)/'Imputed Data'!F10</f>
        <v>5.6458511548331855E-2</v>
      </c>
      <c r="G22" s="7">
        <f>('Imputed Data'!G22-'Imputed Data'!G10)/'Imputed Data'!G10</f>
        <v>4.4523597506678537E-2</v>
      </c>
      <c r="H22" s="7">
        <f>('Imputed Data'!H22-'Imputed Data'!H10)/'Imputed Data'!H10</f>
        <v>0.11040723981900455</v>
      </c>
      <c r="I22" s="7">
        <f>('Imputed Data'!I22-'Imputed Data'!I10)/'Imputed Data'!I10</f>
        <v>2.469135802469144E-2</v>
      </c>
      <c r="J22" s="7">
        <f>('Imputed Data'!J22-'Imputed Data'!J10)/'Imputed Data'!J10</f>
        <v>0.1863932898415657</v>
      </c>
      <c r="K22" s="7">
        <f>('Imputed Data'!K22-'Imputed Data'!K10)/'Imputed Data'!K10</f>
        <v>7.4580484773150314E-3</v>
      </c>
      <c r="L22" s="7">
        <f>('Imputed Data'!L22-'Imputed Data'!L10)/'Imputed Data'!L10</f>
        <v>7.9365079365079375E-2</v>
      </c>
      <c r="M22" s="7">
        <f>('Imputed Data'!M22-'Imputed Data'!M10)/'Imputed Data'!M10</f>
        <v>6.7895247332686991E-3</v>
      </c>
      <c r="N22" s="7">
        <f>('Imputed Data'!N22-'Imputed Data'!N10)/'Imputed Data'!N10</f>
        <v>8.587257617728529E-2</v>
      </c>
      <c r="O22" s="7">
        <f>('Imputed Data'!O22-'Imputed Data'!O10)/'Imputed Data'!O10</f>
        <v>4.6070460704606991E-2</v>
      </c>
      <c r="P22" s="7">
        <f>('Imputed Data'!P22-'Imputed Data'!P10)/'Imputed Data'!P10</f>
        <v>8.0279232111692869E-2</v>
      </c>
      <c r="Q22" s="7">
        <f>('Imputed Data'!Q22-'Imputed Data'!Q10)/'Imputed Data'!Q10</f>
        <v>6.3398140321217239E-2</v>
      </c>
      <c r="R22" s="7">
        <f>('Imputed Data'!R22-'Imputed Data'!R10)/'Imputed Data'!R10</f>
        <v>7.8571428571428542E-2</v>
      </c>
      <c r="S22" s="7">
        <f>('Imputed Data'!S22-'Imputed Data'!S10)/'Imputed Data'!S10</f>
        <v>7.575757575757576E-2</v>
      </c>
      <c r="T22" s="7">
        <f>('Imputed Data'!T22-'Imputed Data'!T10)/'Imputed Data'!T10</f>
        <v>6.1594202898550693E-2</v>
      </c>
      <c r="U22" s="7">
        <f>('Imputed Data'!U22-'Imputed Data'!U10)/'Imputed Data'!U10</f>
        <v>7.3279714030384163E-2</v>
      </c>
      <c r="V22" s="7">
        <f>('Imputed Data'!V22-'Imputed Data'!V10)/'Imputed Data'!V10</f>
        <v>5.8340929808568746E-2</v>
      </c>
      <c r="W22" s="7">
        <f>('Imputed Data'!W22-'Imputed Data'!W10)/'Imputed Data'!W10</f>
        <v>3.4389140271493188E-2</v>
      </c>
      <c r="X22" s="7">
        <f>('Imputed Data'!X22-'Imputed Data'!X10)/'Imputed Data'!X10</f>
        <v>5.9306569343065697E-2</v>
      </c>
      <c r="Y22" s="7">
        <f>('Imputed Data'!Y22-'Imputed Data'!Y10)/'Imputed Data'!Y10</f>
        <v>5.1803885291396935E-2</v>
      </c>
      <c r="Z22" s="7">
        <f>('Imputed Data'!Z22-'Imputed Data'!Z10)/'Imputed Data'!Z10</f>
        <v>1.9108280254777017E-2</v>
      </c>
      <c r="AA22" s="7">
        <f>('Imputed Data'!AA22-'Imputed Data'!AA10)/'Imputed Data'!AA10</f>
        <v>5.20930232558139E-2</v>
      </c>
      <c r="AB22" s="7">
        <f>('Imputed Data'!AB22-'Imputed Data'!AB10)/'Imputed Data'!AB10</f>
        <v>7.2332730560578665E-2</v>
      </c>
      <c r="AC22" s="7">
        <f>('Imputed Data'!AC22-'Imputed Data'!AC10)/'Imputed Data'!AC10</f>
        <v>2.5280898876404521E-2</v>
      </c>
      <c r="AD22" s="7">
        <f>('Imputed Data'!AD22-'Imputed Data'!AD10)/'Imputed Data'!AD10</f>
        <v>4.3119266055045895E-2</v>
      </c>
      <c r="AE22" s="7">
        <f>('Imputed Data'!AE22-'Imputed Data'!AE10)/'Imputed Data'!AE10</f>
        <v>5.6288478452066769E-2</v>
      </c>
    </row>
    <row r="23" spans="1:31" x14ac:dyDescent="0.25">
      <c r="A23" s="1">
        <f>'Imputed Data'!A23</f>
        <v>41913</v>
      </c>
      <c r="B23" s="1" t="str">
        <f>'Imputed Data'!B23</f>
        <v>Rural+Urban</v>
      </c>
      <c r="C23" s="2">
        <f>'Imputed Data'!C23</f>
        <v>2014</v>
      </c>
      <c r="D23" s="1" t="str">
        <f>'Imputed Data'!D23</f>
        <v>October</v>
      </c>
      <c r="E23" s="7">
        <f>('Imputed Data'!E23-'Imputed Data'!E11)/'Imputed Data'!E11</f>
        <v>5.2092228864218694E-2</v>
      </c>
      <c r="F23" s="7">
        <f>('Imputed Data'!F23-'Imputed Data'!F11)/'Imputed Data'!F11</f>
        <v>6.4488392089423904E-2</v>
      </c>
      <c r="G23" s="7">
        <f>('Imputed Data'!G23-'Imputed Data'!G11)/'Imputed Data'!G11</f>
        <v>4.2365401588702535E-2</v>
      </c>
      <c r="H23" s="7">
        <f>('Imputed Data'!H23-'Imputed Data'!H11)/'Imputed Data'!H11</f>
        <v>0.1079136690647482</v>
      </c>
      <c r="I23" s="7">
        <f>('Imputed Data'!I23-'Imputed Data'!I11)/'Imputed Data'!I11</f>
        <v>2.0813623462630111E-2</v>
      </c>
      <c r="J23" s="7">
        <f>('Imputed Data'!J23-'Imputed Data'!J11)/'Imputed Data'!J11</f>
        <v>0.15013648771610555</v>
      </c>
      <c r="K23" s="7">
        <f>('Imputed Data'!K23-'Imputed Data'!K11)/'Imputed Data'!K11</f>
        <v>-8.4112149532710151E-2</v>
      </c>
      <c r="L23" s="7">
        <f>('Imputed Data'!L23-'Imputed Data'!L11)/'Imputed Data'!L11</f>
        <v>8.2013047530288888E-2</v>
      </c>
      <c r="M23" s="7">
        <f>('Imputed Data'!M23-'Imputed Data'!M11)/'Imputed Data'!M11</f>
        <v>3.8948393378772294E-3</v>
      </c>
      <c r="N23" s="7">
        <f>('Imputed Data'!N23-'Imputed Data'!N11)/'Imputed Data'!N11</f>
        <v>8.6476540938362378E-2</v>
      </c>
      <c r="O23" s="7">
        <f>('Imputed Data'!O23-'Imputed Data'!O11)/'Imputed Data'!O11</f>
        <v>4.4064748201438769E-2</v>
      </c>
      <c r="P23" s="7">
        <f>('Imputed Data'!P23-'Imputed Data'!P11)/'Imputed Data'!P11</f>
        <v>7.8856152512998212E-2</v>
      </c>
      <c r="Q23" s="7">
        <f>('Imputed Data'!Q23-'Imputed Data'!Q11)/'Imputed Data'!Q11</f>
        <v>4.3261231281198027E-2</v>
      </c>
      <c r="R23" s="7">
        <f>('Imputed Data'!R23-'Imputed Data'!R11)/'Imputed Data'!R11</f>
        <v>7.6444444444444398E-2</v>
      </c>
      <c r="S23" s="7">
        <f>('Imputed Data'!S23-'Imputed Data'!S11)/'Imputed Data'!S11</f>
        <v>7.3321554770318001E-2</v>
      </c>
      <c r="T23" s="7">
        <f>('Imputed Data'!T23-'Imputed Data'!T11)/'Imputed Data'!T11</f>
        <v>6.2050359712230135E-2</v>
      </c>
      <c r="U23" s="7">
        <f>('Imputed Data'!U23-'Imputed Data'!U11)/'Imputed Data'!U11</f>
        <v>7.2695035460992929E-2</v>
      </c>
      <c r="V23" s="7">
        <f>('Imputed Data'!V23-'Imputed Data'!V11)/'Imputed Data'!V11</f>
        <v>5.6108597285067896E-2</v>
      </c>
      <c r="W23" s="7">
        <f>('Imputed Data'!W23-'Imputed Data'!W11)/'Imputed Data'!W11</f>
        <v>3.4265103697024318E-2</v>
      </c>
      <c r="X23" s="7">
        <f>('Imputed Data'!X23-'Imputed Data'!X11)/'Imputed Data'!X11</f>
        <v>5.8023572076155994E-2</v>
      </c>
      <c r="Y23" s="7">
        <f>('Imputed Data'!Y23-'Imputed Data'!Y11)/'Imputed Data'!Y11</f>
        <v>5.2486187845303893E-2</v>
      </c>
      <c r="Z23" s="7">
        <f>('Imputed Data'!Z23-'Imputed Data'!Z11)/'Imputed Data'!Z11</f>
        <v>2.1004566210045636E-2</v>
      </c>
      <c r="AA23" s="7">
        <f>('Imputed Data'!AA23-'Imputed Data'!AA11)/'Imputed Data'!AA11</f>
        <v>4.8103607770582819E-2</v>
      </c>
      <c r="AB23" s="7">
        <f>('Imputed Data'!AB23-'Imputed Data'!AB11)/'Imputed Data'!AB11</f>
        <v>7.2202166064981949E-2</v>
      </c>
      <c r="AC23" s="7">
        <f>('Imputed Data'!AC23-'Imputed Data'!AC11)/'Imputed Data'!AC11</f>
        <v>2.0484171322160041E-2</v>
      </c>
      <c r="AD23" s="7">
        <f>('Imputed Data'!AD23-'Imputed Data'!AD11)/'Imputed Data'!AD11</f>
        <v>4.3040293040293068E-2</v>
      </c>
      <c r="AE23" s="7">
        <f>('Imputed Data'!AE23-'Imputed Data'!AE11)/'Imputed Data'!AE11</f>
        <v>4.6167247386759556E-2</v>
      </c>
    </row>
    <row r="24" spans="1:31" x14ac:dyDescent="0.25">
      <c r="A24" s="1">
        <f>'Imputed Data'!A24</f>
        <v>41944</v>
      </c>
      <c r="B24" s="1" t="str">
        <f>'Imputed Data'!B24</f>
        <v>Rural+Urban</v>
      </c>
      <c r="C24" s="2">
        <f>'Imputed Data'!C24</f>
        <v>2014</v>
      </c>
      <c r="D24" s="1" t="str">
        <f>'Imputed Data'!D24</f>
        <v>November</v>
      </c>
      <c r="E24" s="7">
        <f>('Imputed Data'!E24-'Imputed Data'!E12)/'Imputed Data'!E12</f>
        <v>4.4030482641828982E-2</v>
      </c>
      <c r="F24" s="7">
        <f>('Imputed Data'!F24-'Imputed Data'!F12)/'Imputed Data'!F12</f>
        <v>7.1923743500866527E-2</v>
      </c>
      <c r="G24" s="7">
        <f>('Imputed Data'!G24-'Imputed Data'!G12)/'Imputed Data'!G12</f>
        <v>1.9376579612468383E-2</v>
      </c>
      <c r="H24" s="7">
        <f>('Imputed Data'!H24-'Imputed Data'!H12)/'Imputed Data'!H12</f>
        <v>0.10400000000000002</v>
      </c>
      <c r="I24" s="7">
        <f>('Imputed Data'!I24-'Imputed Data'!I12)/'Imputed Data'!I12</f>
        <v>9.3632958801498131E-3</v>
      </c>
      <c r="J24" s="7">
        <f>('Imputed Data'!J24-'Imputed Data'!J12)/'Imputed Data'!J12</f>
        <v>0.107488986784141</v>
      </c>
      <c r="K24" s="7">
        <f>('Imputed Data'!K24-'Imputed Data'!K12)/'Imputed Data'!K12</f>
        <v>-0.16766794101583829</v>
      </c>
      <c r="L24" s="7">
        <f>('Imputed Data'!L24-'Imputed Data'!L12)/'Imputed Data'!L12</f>
        <v>8.3179297597042512E-2</v>
      </c>
      <c r="M24" s="7">
        <f>('Imputed Data'!M24-'Imputed Data'!M12)/'Imputed Data'!M12</f>
        <v>-9.7847358121339067E-4</v>
      </c>
      <c r="N24" s="7">
        <f>('Imputed Data'!N24-'Imputed Data'!N12)/'Imputed Data'!N12</f>
        <v>8.5009140767824468E-2</v>
      </c>
      <c r="O24" s="7">
        <f>('Imputed Data'!O24-'Imputed Data'!O12)/'Imputed Data'!O12</f>
        <v>4.1144901610017964E-2</v>
      </c>
      <c r="P24" s="7">
        <f>('Imputed Data'!P24-'Imputed Data'!P12)/'Imputed Data'!P12</f>
        <v>7.8111587982832575E-2</v>
      </c>
      <c r="Q24" s="7">
        <f>('Imputed Data'!Q24-'Imputed Data'!Q12)/'Imputed Data'!Q12</f>
        <v>2.0391517128874388E-2</v>
      </c>
      <c r="R24" s="7">
        <f>('Imputed Data'!R24-'Imputed Data'!R12)/'Imputed Data'!R12</f>
        <v>7.9575596816976138E-2</v>
      </c>
      <c r="S24" s="7">
        <f>('Imputed Data'!S24-'Imputed Data'!S12)/'Imputed Data'!S12</f>
        <v>6.9176882661996425E-2</v>
      </c>
      <c r="T24" s="7">
        <f>('Imputed Data'!T24-'Imputed Data'!T12)/'Imputed Data'!T12</f>
        <v>5.8087578194816795E-2</v>
      </c>
      <c r="U24" s="7">
        <f>('Imputed Data'!U24-'Imputed Data'!U12)/'Imputed Data'!U12</f>
        <v>6.8541300527240751E-2</v>
      </c>
      <c r="V24" s="7">
        <f>('Imputed Data'!V24-'Imputed Data'!V12)/'Imputed Data'!V12</f>
        <v>5.400540054005401E-2</v>
      </c>
      <c r="W24" s="7">
        <f>('Imputed Data'!W24-'Imputed Data'!W12)/'Imputed Data'!W12</f>
        <v>3.4946236559139837E-2</v>
      </c>
      <c r="X24" s="7">
        <f>('Imputed Data'!X24-'Imputed Data'!X12)/'Imputed Data'!X12</f>
        <v>5.5805580558055831E-2</v>
      </c>
      <c r="Y24" s="7">
        <f>('Imputed Data'!Y24-'Imputed Data'!Y12)/'Imputed Data'!Y12</f>
        <v>5.0320219579139985E-2</v>
      </c>
      <c r="Z24" s="7">
        <f>('Imputed Data'!Z24-'Imputed Data'!Z12)/'Imputed Data'!Z12</f>
        <v>1.1872146118721436E-2</v>
      </c>
      <c r="AA24" s="7">
        <f>('Imputed Data'!AA24-'Imputed Data'!AA12)/'Imputed Data'!AA12</f>
        <v>4.696132596685091E-2</v>
      </c>
      <c r="AB24" s="7">
        <f>('Imputed Data'!AB24-'Imputed Data'!AB12)/'Imputed Data'!AB12</f>
        <v>7.0143884892086297E-2</v>
      </c>
      <c r="AC24" s="7">
        <f>('Imputed Data'!AC24-'Imputed Data'!AC12)/'Imputed Data'!AC12</f>
        <v>9.2506938020351526E-3</v>
      </c>
      <c r="AD24" s="7">
        <f>('Imputed Data'!AD24-'Imputed Data'!AD12)/'Imputed Data'!AD12</f>
        <v>3.7374658158614349E-2</v>
      </c>
      <c r="AE24" s="7">
        <f>('Imputed Data'!AE24-'Imputed Data'!AE12)/'Imputed Data'!AE12</f>
        <v>3.2674118658641421E-2</v>
      </c>
    </row>
    <row r="25" spans="1:31" x14ac:dyDescent="0.25">
      <c r="A25" s="1">
        <f>'Imputed Data'!A25</f>
        <v>41974</v>
      </c>
      <c r="B25" s="1" t="str">
        <f>'Imputed Data'!B25</f>
        <v>Rural+Urban</v>
      </c>
      <c r="C25" s="2">
        <f>'Imputed Data'!C25</f>
        <v>2014</v>
      </c>
      <c r="D25" s="1" t="str">
        <f>'Imputed Data'!D25</f>
        <v>December</v>
      </c>
      <c r="E25" s="7">
        <f>('Imputed Data'!E25-'Imputed Data'!E13)/'Imputed Data'!E13</f>
        <v>3.1905961376994217E-2</v>
      </c>
      <c r="F25" s="7">
        <f>('Imputed Data'!F25-'Imputed Data'!F13)/'Imputed Data'!F13</f>
        <v>5.5698371893744644E-2</v>
      </c>
      <c r="G25" s="7">
        <f>('Imputed Data'!G25-'Imputed Data'!G13)/'Imputed Data'!G13</f>
        <v>0</v>
      </c>
      <c r="H25" s="7">
        <f>('Imputed Data'!H25-'Imputed Data'!H13)/'Imputed Data'!H13</f>
        <v>9.7883597883597823E-2</v>
      </c>
      <c r="I25" s="7">
        <f>('Imputed Data'!I25-'Imputed Data'!I13)/'Imputed Data'!I13</f>
        <v>2.7958993476234592E-3</v>
      </c>
      <c r="J25" s="7">
        <f>('Imputed Data'!J25-'Imputed Data'!J13)/'Imputed Data'!J13</f>
        <v>0.10944395410414832</v>
      </c>
      <c r="K25" s="7">
        <f>('Imputed Data'!K25-'Imputed Data'!K13)/'Imputed Data'!K13</f>
        <v>-3.3700137551581882E-2</v>
      </c>
      <c r="L25" s="7">
        <f>('Imputed Data'!L25-'Imputed Data'!L13)/'Imputed Data'!L13</f>
        <v>8.1876724931002676E-2</v>
      </c>
      <c r="M25" s="7">
        <f>('Imputed Data'!M25-'Imputed Data'!M13)/'Imputed Data'!M13</f>
        <v>-8.8669950738916817E-3</v>
      </c>
      <c r="N25" s="7">
        <f>('Imputed Data'!N25-'Imputed Data'!N13)/'Imputed Data'!N13</f>
        <v>7.7828054298642479E-2</v>
      </c>
      <c r="O25" s="7">
        <f>('Imputed Data'!O25-'Imputed Data'!O13)/'Imputed Data'!O13</f>
        <v>4.1926851025869787E-2</v>
      </c>
      <c r="P25" s="7">
        <f>('Imputed Data'!P25-'Imputed Data'!P13)/'Imputed Data'!P13</f>
        <v>7.4105621805792068E-2</v>
      </c>
      <c r="Q25" s="7">
        <f>('Imputed Data'!Q25-'Imputed Data'!Q13)/'Imputed Data'!Q13</f>
        <v>4.3918918918918824E-2</v>
      </c>
      <c r="R25" s="7">
        <f>('Imputed Data'!R25-'Imputed Data'!R13)/'Imputed Data'!R13</f>
        <v>7.8947368421052627E-2</v>
      </c>
      <c r="S25" s="7">
        <f>('Imputed Data'!S25-'Imputed Data'!S13)/'Imputed Data'!S13</f>
        <v>6.4236111111111036E-2</v>
      </c>
      <c r="T25" s="7">
        <f>('Imputed Data'!T25-'Imputed Data'!T13)/'Imputed Data'!T13</f>
        <v>5.2351375332741715E-2</v>
      </c>
      <c r="U25" s="7">
        <f>('Imputed Data'!U25-'Imputed Data'!U13)/'Imputed Data'!U13</f>
        <v>6.2717770034843232E-2</v>
      </c>
      <c r="V25" s="7">
        <f>('Imputed Data'!V25-'Imputed Data'!V13)/'Imputed Data'!V13</f>
        <v>5.2393857271906027E-2</v>
      </c>
      <c r="W25" s="7">
        <f>('Imputed Data'!W25-'Imputed Data'!W13)/'Imputed Data'!W13</f>
        <v>3.3958891867739024E-2</v>
      </c>
      <c r="X25" s="7">
        <f>('Imputed Data'!X25-'Imputed Data'!X13)/'Imputed Data'!X13</f>
        <v>5.1924798567591739E-2</v>
      </c>
      <c r="Y25" s="7">
        <f>('Imputed Data'!Y25-'Imputed Data'!Y13)/'Imputed Data'!Y13</f>
        <v>4.9225159525979868E-2</v>
      </c>
      <c r="Z25" s="7">
        <f>('Imputed Data'!Z25-'Imputed Data'!Z13)/'Imputed Data'!Z13</f>
        <v>2.7322404371584439E-3</v>
      </c>
      <c r="AA25" s="7">
        <f>('Imputed Data'!AA25-'Imputed Data'!AA13)/'Imputed Data'!AA13</f>
        <v>4.4954128440367024E-2</v>
      </c>
      <c r="AB25" s="7">
        <f>('Imputed Data'!AB25-'Imputed Data'!AB13)/'Imputed Data'!AB13</f>
        <v>7.1748878923766815E-2</v>
      </c>
      <c r="AC25" s="7">
        <f>('Imputed Data'!AC25-'Imputed Data'!AC13)/'Imputed Data'!AC13</f>
        <v>1.7608897126969336E-2</v>
      </c>
      <c r="AD25" s="7">
        <f>('Imputed Data'!AD25-'Imputed Data'!AD13)/'Imputed Data'!AD13</f>
        <v>3.4545454545454518E-2</v>
      </c>
      <c r="AE25" s="7">
        <f>('Imputed Data'!AE25-'Imputed Data'!AE13)/'Imputed Data'!AE13</f>
        <v>4.2794759825327558E-2</v>
      </c>
    </row>
    <row r="26" spans="1:31" x14ac:dyDescent="0.25">
      <c r="A26" s="1">
        <f>'Imputed Data'!A26</f>
        <v>42005</v>
      </c>
      <c r="B26" s="1" t="str">
        <f>'Imputed Data'!B26</f>
        <v>Rural+Urban</v>
      </c>
      <c r="C26" s="2">
        <f>'Imputed Data'!C26</f>
        <v>2015</v>
      </c>
      <c r="D26" s="1" t="str">
        <f>'Imputed Data'!D26</f>
        <v>January</v>
      </c>
      <c r="E26" s="7">
        <f>('Imputed Data'!E26-'Imputed Data'!E14)/'Imputed Data'!E14</f>
        <v>3.1772575250836217E-2</v>
      </c>
      <c r="F26" s="7">
        <f>('Imputed Data'!F26-'Imputed Data'!F14)/'Imputed Data'!F14</f>
        <v>4.2929292929293004E-2</v>
      </c>
      <c r="G26" s="7">
        <f>('Imputed Data'!G26-'Imputed Data'!G14)/'Imputed Data'!G14</f>
        <v>-2.4174053182916774E-3</v>
      </c>
      <c r="H26" s="7">
        <f>('Imputed Data'!H26-'Imputed Data'!H14)/'Imputed Data'!H14</f>
        <v>9.5530236634531168E-2</v>
      </c>
      <c r="I26" s="7">
        <f>('Imputed Data'!I26-'Imputed Data'!I14)/'Imputed Data'!I14</f>
        <v>1.591760299625471E-2</v>
      </c>
      <c r="J26" s="7">
        <f>('Imputed Data'!J26-'Imputed Data'!J14)/'Imputed Data'!J14</f>
        <v>0.10798946444249338</v>
      </c>
      <c r="K26" s="7">
        <f>('Imputed Data'!K26-'Imputed Data'!K14)/'Imputed Data'!K14</f>
        <v>8.8379705400981973E-2</v>
      </c>
      <c r="L26" s="7">
        <f>('Imputed Data'!L26-'Imputed Data'!L14)/'Imputed Data'!L14</f>
        <v>9.3663911845729919E-2</v>
      </c>
      <c r="M26" s="7">
        <f>('Imputed Data'!M26-'Imputed Data'!M14)/'Imputed Data'!M14</f>
        <v>-1.1976047904191645E-2</v>
      </c>
      <c r="N26" s="7">
        <f>('Imputed Data'!N26-'Imputed Data'!N14)/'Imputed Data'!N14</f>
        <v>8.3783783783783761E-2</v>
      </c>
      <c r="O26" s="7">
        <f>('Imputed Data'!O26-'Imputed Data'!O14)/'Imputed Data'!O14</f>
        <v>4.4523597506678537E-2</v>
      </c>
      <c r="P26" s="7">
        <f>('Imputed Data'!P26-'Imputed Data'!P14)/'Imputed Data'!P14</f>
        <v>7.2819644369178732E-2</v>
      </c>
      <c r="Q26" s="7">
        <f>('Imputed Data'!Q26-'Imputed Data'!Q14)/'Imputed Data'!Q14</f>
        <v>6.3039723661485303E-2</v>
      </c>
      <c r="R26" s="7">
        <f>('Imputed Data'!R26-'Imputed Data'!R14)/'Imputed Data'!R14</f>
        <v>8.296943231441048E-2</v>
      </c>
      <c r="S26" s="7">
        <f>('Imputed Data'!S26-'Imputed Data'!S14)/'Imputed Data'!S14</f>
        <v>6.3039723661485303E-2</v>
      </c>
      <c r="T26" s="7">
        <f>('Imputed Data'!T26-'Imputed Data'!T14)/'Imputed Data'!T14</f>
        <v>5.3886925795052949E-2</v>
      </c>
      <c r="U26" s="7">
        <f>('Imputed Data'!U26-'Imputed Data'!U14)/'Imputed Data'!U14</f>
        <v>6.1525129982668923E-2</v>
      </c>
      <c r="V26" s="7">
        <f>('Imputed Data'!V26-'Imputed Data'!V14)/'Imputed Data'!V14</f>
        <v>5.1075268817204332E-2</v>
      </c>
      <c r="W26" s="7">
        <f>('Imputed Data'!W26-'Imputed Data'!W14)/'Imputed Data'!W14</f>
        <v>3.8324420677361824E-2</v>
      </c>
      <c r="X26" s="7">
        <f>('Imputed Data'!X26-'Imputed Data'!X14)/'Imputed Data'!X14</f>
        <v>5.1647373107747079E-2</v>
      </c>
      <c r="Y26" s="7">
        <f>('Imputed Data'!Y26-'Imputed Data'!Y14)/'Imputed Data'!Y14</f>
        <v>4.7144152311876728E-2</v>
      </c>
      <c r="Z26" s="7">
        <f>('Imputed Data'!Z26-'Imputed Data'!Z14)/'Imputed Data'!Z14</f>
        <v>-1.1743450767840986E-2</v>
      </c>
      <c r="AA26" s="7">
        <f>('Imputed Data'!AA26-'Imputed Data'!AA14)/'Imputed Data'!AA14</f>
        <v>4.1932543299908788E-2</v>
      </c>
      <c r="AB26" s="7">
        <f>('Imputed Data'!AB26-'Imputed Data'!AB14)/'Imputed Data'!AB14</f>
        <v>7.2580645161290397E-2</v>
      </c>
      <c r="AC26" s="7">
        <f>('Imputed Data'!AC26-'Imputed Data'!AC14)/'Imputed Data'!AC14</f>
        <v>2.3105360443622922E-2</v>
      </c>
      <c r="AD26" s="7">
        <f>('Imputed Data'!AD26-'Imputed Data'!AD14)/'Imputed Data'!AD14</f>
        <v>3.0741410488245986E-2</v>
      </c>
      <c r="AE26" s="7">
        <f>('Imputed Data'!AE26-'Imputed Data'!AE14)/'Imputed Data'!AE14</f>
        <v>5.1936619718309915E-2</v>
      </c>
    </row>
    <row r="27" spans="1:31" x14ac:dyDescent="0.25">
      <c r="A27" s="1">
        <f>'Imputed Data'!A27</f>
        <v>42036</v>
      </c>
      <c r="B27" s="1" t="str">
        <f>'Imputed Data'!B27</f>
        <v>Rural+Urban</v>
      </c>
      <c r="C27" s="2">
        <f>'Imputed Data'!C27</f>
        <v>2015</v>
      </c>
      <c r="D27" s="1" t="str">
        <f>'Imputed Data'!D27</f>
        <v>February</v>
      </c>
      <c r="E27" s="7">
        <f>('Imputed Data'!E27-'Imputed Data'!E15)/'Imputed Data'!E15</f>
        <v>2.9118136439267885E-2</v>
      </c>
      <c r="F27" s="7">
        <f>('Imputed Data'!F27-'Imputed Data'!F15)/'Imputed Data'!F15</f>
        <v>4.9496644295301942E-2</v>
      </c>
      <c r="G27" s="7">
        <f>('Imputed Data'!G27-'Imputed Data'!G15)/'Imputed Data'!G15</f>
        <v>-1.1428571428571475E-2</v>
      </c>
      <c r="H27" s="7">
        <f>('Imputed Data'!H27-'Imputed Data'!H15)/'Imputed Data'!H15</f>
        <v>9.2093831450912322E-2</v>
      </c>
      <c r="I27" s="7">
        <f>('Imputed Data'!I27-'Imputed Data'!I15)/'Imputed Data'!I15</f>
        <v>2.3452157598499064E-2</v>
      </c>
      <c r="J27" s="7">
        <f>('Imputed Data'!J27-'Imputed Data'!J15)/'Imputed Data'!J15</f>
        <v>9.0121317157712225E-2</v>
      </c>
      <c r="K27" s="7">
        <f>('Imputed Data'!K27-'Imputed Data'!K15)/'Imputed Data'!K15</f>
        <v>0.13013100436681227</v>
      </c>
      <c r="L27" s="7">
        <f>('Imputed Data'!L27-'Imputed Data'!L15)/'Imputed Data'!L15</f>
        <v>0.10612991765782259</v>
      </c>
      <c r="M27" s="7">
        <f>('Imputed Data'!M27-'Imputed Data'!M15)/'Imputed Data'!M15</f>
        <v>-9.0725806451613482E-3</v>
      </c>
      <c r="N27" s="7">
        <f>('Imputed Data'!N27-'Imputed Data'!N15)/'Imputed Data'!N15</f>
        <v>9.1561938958707248E-2</v>
      </c>
      <c r="O27" s="7">
        <f>('Imputed Data'!O27-'Imputed Data'!O15)/'Imputed Data'!O15</f>
        <v>4.7957371225577319E-2</v>
      </c>
      <c r="P27" s="7">
        <f>('Imputed Data'!P27-'Imputed Data'!P15)/'Imputed Data'!P15</f>
        <v>7.4074074074074056E-2</v>
      </c>
      <c r="Q27" s="7">
        <f>('Imputed Data'!Q27-'Imputed Data'!Q15)/'Imputed Data'!Q15</f>
        <v>6.7649609713790096E-2</v>
      </c>
      <c r="R27" s="7">
        <f>('Imputed Data'!R27-'Imputed Data'!R15)/'Imputed Data'!R15</f>
        <v>9.1543156059285091E-2</v>
      </c>
      <c r="S27" s="7">
        <f>('Imputed Data'!S27-'Imputed Data'!S15)/'Imputed Data'!S15</f>
        <v>6.3573883161511954E-2</v>
      </c>
      <c r="T27" s="7">
        <f>('Imputed Data'!T27-'Imputed Data'!T15)/'Imputed Data'!T15</f>
        <v>6.0017652250661933E-2</v>
      </c>
      <c r="U27" s="7">
        <f>('Imputed Data'!U27-'Imputed Data'!U15)/'Imputed Data'!U15</f>
        <v>6.3848144952545219E-2</v>
      </c>
      <c r="V27" s="7">
        <f>('Imputed Data'!V27-'Imputed Data'!V15)/'Imputed Data'!V15</f>
        <v>4.9777777777777726E-2</v>
      </c>
      <c r="W27" s="7">
        <f>('Imputed Data'!W27-'Imputed Data'!W15)/'Imputed Data'!W15</f>
        <v>4.7153024911032002E-2</v>
      </c>
      <c r="X27" s="7">
        <f>('Imputed Data'!X27-'Imputed Data'!X15)/'Imputed Data'!X15</f>
        <v>5.2304964539007147E-2</v>
      </c>
      <c r="Y27" s="7">
        <f>('Imputed Data'!Y27-'Imputed Data'!Y15)/'Imputed Data'!Y15</f>
        <v>5.0587172538391997E-2</v>
      </c>
      <c r="Z27" s="7">
        <f>('Imputed Data'!Z27-'Imputed Data'!Z15)/'Imputed Data'!Z15</f>
        <v>-2.1602160216021526E-2</v>
      </c>
      <c r="AA27" s="7">
        <f>('Imputed Data'!AA27-'Imputed Data'!AA15)/'Imputed Data'!AA15</f>
        <v>4.359673024523171E-2</v>
      </c>
      <c r="AB27" s="7">
        <f>('Imputed Data'!AB27-'Imputed Data'!AB15)/'Imputed Data'!AB15</f>
        <v>7.0661896243291639E-2</v>
      </c>
      <c r="AC27" s="7">
        <f>('Imputed Data'!AC27-'Imputed Data'!AC15)/'Imputed Data'!AC15</f>
        <v>2.2999080036798528E-2</v>
      </c>
      <c r="AD27" s="7">
        <f>('Imputed Data'!AD27-'Imputed Data'!AD15)/'Imputed Data'!AD15</f>
        <v>2.8854824165915133E-2</v>
      </c>
      <c r="AE27" s="7">
        <f>('Imputed Data'!AE27-'Imputed Data'!AE15)/'Imputed Data'!AE15</f>
        <v>5.369718309859163E-2</v>
      </c>
    </row>
    <row r="28" spans="1:31" x14ac:dyDescent="0.25">
      <c r="A28" s="1">
        <f>'Imputed Data'!A28</f>
        <v>42064</v>
      </c>
      <c r="B28" s="1" t="str">
        <f>'Imputed Data'!B28</f>
        <v>Rural+Urban</v>
      </c>
      <c r="C28" s="2">
        <f>'Imputed Data'!C28</f>
        <v>2015</v>
      </c>
      <c r="D28" s="1" t="str">
        <f>'Imputed Data'!D28</f>
        <v>March</v>
      </c>
      <c r="E28" s="7">
        <f>('Imputed Data'!E28-'Imputed Data'!E16)/'Imputed Data'!E16</f>
        <v>2.3198011599005777E-2</v>
      </c>
      <c r="F28" s="7">
        <f>('Imputed Data'!F28-'Imputed Data'!F16)/'Imputed Data'!F16</f>
        <v>5.1131601005867632E-2</v>
      </c>
      <c r="G28" s="7">
        <f>('Imputed Data'!G28-'Imputed Data'!G16)/'Imputed Data'!G16</f>
        <v>-3.4710743801652913E-2</v>
      </c>
      <c r="H28" s="7">
        <f>('Imputed Data'!H28-'Imputed Data'!H16)/'Imputed Data'!H16</f>
        <v>8.5271317829457419E-2</v>
      </c>
      <c r="I28" s="7">
        <f>('Imputed Data'!I28-'Imputed Data'!I16)/'Imputed Data'!I16</f>
        <v>2.1515434985968168E-2</v>
      </c>
      <c r="J28" s="7">
        <f>('Imputed Data'!J28-'Imputed Data'!J16)/'Imputed Data'!J16</f>
        <v>7.4978938500421158E-2</v>
      </c>
      <c r="K28" s="7">
        <f>('Imputed Data'!K28-'Imputed Data'!K16)/'Imputed Data'!K16</f>
        <v>0.11092003439380904</v>
      </c>
      <c r="L28" s="7">
        <f>('Imputed Data'!L28-'Imputed Data'!L16)/'Imputed Data'!L16</f>
        <v>0.11475409836065582</v>
      </c>
      <c r="M28" s="7">
        <f>('Imputed Data'!M28-'Imputed Data'!M16)/'Imputed Data'!M16</f>
        <v>-2.6104417670682674E-2</v>
      </c>
      <c r="N28" s="7">
        <f>('Imputed Data'!N28-'Imputed Data'!N16)/'Imputed Data'!N16</f>
        <v>9.2128801431126991E-2</v>
      </c>
      <c r="O28" s="7">
        <f>('Imputed Data'!O28-'Imputed Data'!O16)/'Imputed Data'!O16</f>
        <v>4.7914818101153431E-2</v>
      </c>
      <c r="P28" s="7">
        <f>('Imputed Data'!P28-'Imputed Data'!P16)/'Imputed Data'!P16</f>
        <v>7.6278290025146758E-2</v>
      </c>
      <c r="Q28" s="7">
        <f>('Imputed Data'!Q28-'Imputed Data'!Q16)/'Imputed Data'!Q16</f>
        <v>6.2876830318690888E-2</v>
      </c>
      <c r="R28" s="7">
        <f>('Imputed Data'!R28-'Imputed Data'!R16)/'Imputed Data'!R16</f>
        <v>9.201388888888884E-2</v>
      </c>
      <c r="S28" s="7">
        <f>('Imputed Data'!S28-'Imputed Data'!S16)/'Imputed Data'!S16</f>
        <v>6.4212328767123295E-2</v>
      </c>
      <c r="T28" s="7">
        <f>('Imputed Data'!T28-'Imputed Data'!T16)/'Imputed Data'!T16</f>
        <v>5.8927000879507502E-2</v>
      </c>
      <c r="U28" s="7">
        <f>('Imputed Data'!U28-'Imputed Data'!U16)/'Imputed Data'!U16</f>
        <v>6.2714776632302377E-2</v>
      </c>
      <c r="V28" s="7">
        <f>('Imputed Data'!V28-'Imputed Data'!V16)/'Imputed Data'!V16</f>
        <v>4.7703180212014057E-2</v>
      </c>
      <c r="W28" s="7">
        <f>('Imputed Data'!W28-'Imputed Data'!W16)/'Imputed Data'!W16</f>
        <v>5.1555555555555528E-2</v>
      </c>
      <c r="X28" s="7">
        <f>('Imputed Data'!X28-'Imputed Data'!X16)/'Imputed Data'!X16</f>
        <v>5.3003533568904596E-2</v>
      </c>
      <c r="Y28" s="7">
        <f>('Imputed Data'!Y28-'Imputed Data'!Y16)/'Imputed Data'!Y16</f>
        <v>4.9460431654676257E-2</v>
      </c>
      <c r="Z28" s="7">
        <f>('Imputed Data'!Z28-'Imputed Data'!Z16)/'Imputed Data'!Z16</f>
        <v>-1.3464991023339317E-2</v>
      </c>
      <c r="AA28" s="7">
        <f>('Imputed Data'!AA28-'Imputed Data'!AA16)/'Imputed Data'!AA16</f>
        <v>4.3399638336347302E-2</v>
      </c>
      <c r="AB28" s="7">
        <f>('Imputed Data'!AB28-'Imputed Data'!AB16)/'Imputed Data'!AB16</f>
        <v>7.2321428571428523E-2</v>
      </c>
      <c r="AC28" s="7">
        <f>('Imputed Data'!AC28-'Imputed Data'!AC16)/'Imputed Data'!AC16</f>
        <v>1.834862385321101E-2</v>
      </c>
      <c r="AD28" s="7">
        <f>('Imputed Data'!AD28-'Imputed Data'!AD16)/'Imputed Data'!AD16</f>
        <v>3.0548068283917391E-2</v>
      </c>
      <c r="AE28" s="7">
        <f>('Imputed Data'!AE28-'Imputed Data'!AE16)/'Imputed Data'!AE16</f>
        <v>5.2539404553415062E-2</v>
      </c>
    </row>
    <row r="29" spans="1:31" x14ac:dyDescent="0.25">
      <c r="A29" s="1">
        <f>'Imputed Data'!A29</f>
        <v>42095</v>
      </c>
      <c r="B29" s="1" t="str">
        <f>'Imputed Data'!B29</f>
        <v>Rural+Urban</v>
      </c>
      <c r="C29" s="2">
        <f>'Imputed Data'!C29</f>
        <v>2015</v>
      </c>
      <c r="D29" s="1" t="str">
        <f>'Imputed Data'!D29</f>
        <v>April</v>
      </c>
      <c r="E29" s="7">
        <f>('Imputed Data'!E29-'Imputed Data'!E17)/'Imputed Data'!E17</f>
        <v>2.1505376344085975E-2</v>
      </c>
      <c r="F29" s="7">
        <f>('Imputed Data'!F29-'Imputed Data'!F17)/'Imputed Data'!F17</f>
        <v>5.4211843202668891E-2</v>
      </c>
      <c r="G29" s="7">
        <f>('Imputed Data'!G29-'Imputed Data'!G17)/'Imputed Data'!G17</f>
        <v>-1.5490533562822695E-2</v>
      </c>
      <c r="H29" s="7">
        <f>('Imputed Data'!H29-'Imputed Data'!H17)/'Imputed Data'!H17</f>
        <v>8.205128205128201E-2</v>
      </c>
      <c r="I29" s="7">
        <f>('Imputed Data'!I29-'Imputed Data'!I17)/'Imputed Data'!I17</f>
        <v>1.7707362534948794E-2</v>
      </c>
      <c r="J29" s="7">
        <f>('Imputed Data'!J29-'Imputed Data'!J17)/'Imputed Data'!J17</f>
        <v>5.0753370340999256E-2</v>
      </c>
      <c r="K29" s="7">
        <f>('Imputed Data'!K29-'Imputed Data'!K17)/'Imputed Data'!K17</f>
        <v>6.5451532725766287E-2</v>
      </c>
      <c r="L29" s="7">
        <f>('Imputed Data'!L29-'Imputed Data'!L17)/'Imputed Data'!L17</f>
        <v>0.1243243243243243</v>
      </c>
      <c r="M29" s="7">
        <f>('Imputed Data'!M29-'Imputed Data'!M17)/'Imputed Data'!M17</f>
        <v>-5.9921414538310361E-2</v>
      </c>
      <c r="N29" s="7">
        <f>('Imputed Data'!N29-'Imputed Data'!N17)/'Imputed Data'!N17</f>
        <v>8.7033747779751439E-2</v>
      </c>
      <c r="O29" s="7">
        <f>('Imputed Data'!O29-'Imputed Data'!O17)/'Imputed Data'!O17</f>
        <v>4.6819787985865696E-2</v>
      </c>
      <c r="P29" s="7">
        <f>('Imputed Data'!P29-'Imputed Data'!P17)/'Imputed Data'!P17</f>
        <v>7.7629382303839714E-2</v>
      </c>
      <c r="Q29" s="7">
        <f>('Imputed Data'!Q29-'Imputed Data'!Q17)/'Imputed Data'!Q17</f>
        <v>5.4421768707483047E-2</v>
      </c>
      <c r="R29" s="7">
        <f>('Imputed Data'!R29-'Imputed Data'!R17)/'Imputed Data'!R17</f>
        <v>9.3965517241379359E-2</v>
      </c>
      <c r="S29" s="7">
        <f>('Imputed Data'!S29-'Imputed Data'!S17)/'Imputed Data'!S17</f>
        <v>6.2180579216354316E-2</v>
      </c>
      <c r="T29" s="7">
        <f>('Imputed Data'!T29-'Imputed Data'!T17)/'Imputed Data'!T17</f>
        <v>5.4101221640488681E-2</v>
      </c>
      <c r="U29" s="7">
        <f>('Imputed Data'!U29-'Imputed Data'!U17)/'Imputed Data'!U17</f>
        <v>6.0683760683760635E-2</v>
      </c>
      <c r="V29" s="7">
        <f>('Imputed Data'!V29-'Imputed Data'!V17)/'Imputed Data'!V17</f>
        <v>4.6532045654082504E-2</v>
      </c>
      <c r="W29" s="7">
        <f>('Imputed Data'!W29-'Imputed Data'!W17)/'Imputed Data'!W17</f>
        <v>5.5111111111111138E-2</v>
      </c>
      <c r="X29" s="7">
        <f>('Imputed Data'!X29-'Imputed Data'!X17)/'Imputed Data'!X17</f>
        <v>5.369718309859163E-2</v>
      </c>
      <c r="Y29" s="7">
        <f>('Imputed Data'!Y29-'Imputed Data'!Y17)/'Imputed Data'!Y17</f>
        <v>5.0224215246636721E-2</v>
      </c>
      <c r="Z29" s="7">
        <f>('Imputed Data'!Z29-'Imputed Data'!Z17)/'Imputed Data'!Z17</f>
        <v>-9.8920863309353291E-3</v>
      </c>
      <c r="AA29" s="7">
        <f>('Imputed Data'!AA29-'Imputed Data'!AA17)/'Imputed Data'!AA17</f>
        <v>4.5085662759242556E-2</v>
      </c>
      <c r="AB29" s="7">
        <f>('Imputed Data'!AB29-'Imputed Data'!AB17)/'Imputed Data'!AB17</f>
        <v>7.3646850044365539E-2</v>
      </c>
      <c r="AC29" s="7">
        <f>('Imputed Data'!AC29-'Imputed Data'!AC17)/'Imputed Data'!AC17</f>
        <v>2.4770642201834888E-2</v>
      </c>
      <c r="AD29" s="7">
        <f>('Imputed Data'!AD29-'Imputed Data'!AD17)/'Imputed Data'!AD17</f>
        <v>3.2286995515695013E-2</v>
      </c>
      <c r="AE29" s="7">
        <f>('Imputed Data'!AE29-'Imputed Data'!AE17)/'Imputed Data'!AE17</f>
        <v>4.8653344917463155E-2</v>
      </c>
    </row>
    <row r="30" spans="1:31" x14ac:dyDescent="0.25">
      <c r="A30" s="1">
        <f>'Imputed Data'!A30</f>
        <v>42125</v>
      </c>
      <c r="B30" s="1" t="str">
        <f>'Imputed Data'!B30</f>
        <v>Rural+Urban</v>
      </c>
      <c r="C30" s="2">
        <f>'Imputed Data'!C30</f>
        <v>2015</v>
      </c>
      <c r="D30" s="1" t="str">
        <f>'Imputed Data'!D30</f>
        <v>May</v>
      </c>
      <c r="E30" s="7">
        <f>('Imputed Data'!E30-'Imputed Data'!E18)/'Imputed Data'!E18</f>
        <v>2.0644095788604461E-2</v>
      </c>
      <c r="F30" s="7">
        <f>('Imputed Data'!F30-'Imputed Data'!F18)/'Imputed Data'!F18</f>
        <v>5.2631578947368474E-2</v>
      </c>
      <c r="G30" s="7">
        <f>('Imputed Data'!G30-'Imputed Data'!G18)/'Imputed Data'!G18</f>
        <v>-7.765314926660963E-3</v>
      </c>
      <c r="H30" s="7">
        <f>('Imputed Data'!H30-'Imputed Data'!H18)/'Imputed Data'!H18</f>
        <v>7.5168918918918845E-2</v>
      </c>
      <c r="I30" s="7">
        <f>('Imputed Data'!I30-'Imputed Data'!I18)/'Imputed Data'!I18</f>
        <v>1.9498607242339778E-2</v>
      </c>
      <c r="J30" s="7">
        <f>('Imputed Data'!J30-'Imputed Data'!J18)/'Imputed Data'!J18</f>
        <v>3.8371182458887952E-2</v>
      </c>
      <c r="K30" s="7">
        <f>('Imputed Data'!K30-'Imputed Data'!K18)/'Imputed Data'!K18</f>
        <v>4.7200000000000047E-2</v>
      </c>
      <c r="L30" s="7">
        <f>('Imputed Data'!L30-'Imputed Data'!L18)/'Imputed Data'!L18</f>
        <v>0.1662198391420911</v>
      </c>
      <c r="M30" s="7">
        <f>('Imputed Data'!M30-'Imputed Data'!M18)/'Imputed Data'!M18</f>
        <v>-7.2957198443579771E-2</v>
      </c>
      <c r="N30" s="7">
        <f>('Imputed Data'!N30-'Imputed Data'!N18)/'Imputed Data'!N18</f>
        <v>8.8183421516754845E-2</v>
      </c>
      <c r="O30" s="7">
        <f>('Imputed Data'!O30-'Imputed Data'!O18)/'Imputed Data'!O18</f>
        <v>4.8372911169744945E-2</v>
      </c>
      <c r="P30" s="7">
        <f>('Imputed Data'!P30-'Imputed Data'!P18)/'Imputed Data'!P18</f>
        <v>7.8073089700996717E-2</v>
      </c>
      <c r="Q30" s="7">
        <f>('Imputed Data'!Q30-'Imputed Data'!Q18)/'Imputed Data'!Q18</f>
        <v>5.1303616484440658E-2</v>
      </c>
      <c r="R30" s="7">
        <f>('Imputed Data'!R30-'Imputed Data'!R18)/'Imputed Data'!R18</f>
        <v>9.503424657534254E-2</v>
      </c>
      <c r="S30" s="7">
        <f>('Imputed Data'!S30-'Imputed Data'!S18)/'Imputed Data'!S18</f>
        <v>6.2711864406779713E-2</v>
      </c>
      <c r="T30" s="7">
        <f>('Imputed Data'!T30-'Imputed Data'!T18)/'Imputed Data'!T18</f>
        <v>5.295138888888884E-2</v>
      </c>
      <c r="U30" s="7">
        <f>('Imputed Data'!U30-'Imputed Data'!U18)/'Imputed Data'!U18</f>
        <v>6.037414965986402E-2</v>
      </c>
      <c r="V30" s="7">
        <f>('Imputed Data'!V30-'Imputed Data'!V18)/'Imputed Data'!V18</f>
        <v>4.6369203849518786E-2</v>
      </c>
      <c r="W30" s="7">
        <f>('Imputed Data'!W30-'Imputed Data'!W18)/'Imputed Data'!W18</f>
        <v>5.9555555555555584E-2</v>
      </c>
      <c r="X30" s="7">
        <f>('Imputed Data'!X30-'Imputed Data'!X18)/'Imputed Data'!X18</f>
        <v>5.3461875547765193E-2</v>
      </c>
      <c r="Y30" s="7">
        <f>('Imputed Data'!Y30-'Imputed Data'!Y18)/'Imputed Data'!Y18</f>
        <v>5.2772808586762129E-2</v>
      </c>
      <c r="Z30" s="7">
        <f>('Imputed Data'!Z30-'Imputed Data'!Z18)/'Imputed Data'!Z18</f>
        <v>6.2893081761006544E-3</v>
      </c>
      <c r="AA30" s="7">
        <f>('Imputed Data'!AA30-'Imputed Data'!AA18)/'Imputed Data'!AA18</f>
        <v>4.5863309352517936E-2</v>
      </c>
      <c r="AB30" s="7">
        <f>('Imputed Data'!AB30-'Imputed Data'!AB18)/'Imputed Data'!AB18</f>
        <v>7.4336283185840762E-2</v>
      </c>
      <c r="AC30" s="7">
        <f>('Imputed Data'!AC30-'Imputed Data'!AC18)/'Imputed Data'!AC18</f>
        <v>2.9330889092575647E-2</v>
      </c>
      <c r="AD30" s="7">
        <f>('Imputed Data'!AD30-'Imputed Data'!AD18)/'Imputed Data'!AD18</f>
        <v>3.8461538461538436E-2</v>
      </c>
      <c r="AE30" s="7">
        <f>('Imputed Data'!AE30-'Imputed Data'!AE18)/'Imputed Data'!AE18</f>
        <v>5.008635578583763E-2</v>
      </c>
    </row>
    <row r="31" spans="1:31" x14ac:dyDescent="0.25">
      <c r="A31" s="1">
        <f>'Imputed Data'!A31</f>
        <v>42156</v>
      </c>
      <c r="B31" s="1" t="str">
        <f>'Imputed Data'!B31</f>
        <v>Rural+Urban</v>
      </c>
      <c r="C31" s="2">
        <f>'Imputed Data'!C31</f>
        <v>2015</v>
      </c>
      <c r="D31" s="1" t="str">
        <f>'Imputed Data'!D31</f>
        <v>June</v>
      </c>
      <c r="E31" s="7">
        <f>('Imputed Data'!E31-'Imputed Data'!E19)/'Imputed Data'!E19</f>
        <v>1.9753086419753135E-2</v>
      </c>
      <c r="F31" s="7">
        <f>('Imputed Data'!F31-'Imputed Data'!F19)/'Imputed Data'!F19</f>
        <v>7.0674248578391691E-2</v>
      </c>
      <c r="G31" s="7">
        <f>('Imputed Data'!G31-'Imputed Data'!G19)/'Imputed Data'!G19</f>
        <v>5.008635578583763E-2</v>
      </c>
      <c r="H31" s="7">
        <f>('Imputed Data'!H31-'Imputed Data'!H19)/'Imputed Data'!H19</f>
        <v>7.101086048454458E-2</v>
      </c>
      <c r="I31" s="7">
        <f>('Imputed Data'!I31-'Imputed Data'!I19)/'Imputed Data'!I19</f>
        <v>3.0612244897959159E-2</v>
      </c>
      <c r="J31" s="7">
        <f>('Imputed Data'!J31-'Imputed Data'!J19)/'Imputed Data'!J19</f>
        <v>3.5074045206547153E-2</v>
      </c>
      <c r="K31" s="7">
        <f>('Imputed Data'!K31-'Imputed Data'!K19)/'Imputed Data'!K19</f>
        <v>5.2990158970476917E-2</v>
      </c>
      <c r="L31" s="7">
        <f>('Imputed Data'!L31-'Imputed Data'!L19)/'Imputed Data'!L19</f>
        <v>0.22241992882562275</v>
      </c>
      <c r="M31" s="7">
        <f>('Imputed Data'!M31-'Imputed Data'!M19)/'Imputed Data'!M19</f>
        <v>-8.5519922254616243E-2</v>
      </c>
      <c r="N31" s="7">
        <f>('Imputed Data'!N31-'Imputed Data'!N19)/'Imputed Data'!N19</f>
        <v>9.7987751531058639E-2</v>
      </c>
      <c r="O31" s="7">
        <f>('Imputed Data'!O31-'Imputed Data'!O19)/'Imputed Data'!O19</f>
        <v>4.9036777583187342E-2</v>
      </c>
      <c r="P31" s="7">
        <f>('Imputed Data'!P31-'Imputed Data'!P19)/'Imputed Data'!P19</f>
        <v>8.0033003300330058E-2</v>
      </c>
      <c r="Q31" s="7">
        <f>('Imputed Data'!Q31-'Imputed Data'!Q19)/'Imputed Data'!Q19</f>
        <v>5.7308970099667698E-2</v>
      </c>
      <c r="R31" s="7">
        <f>('Imputed Data'!R31-'Imputed Data'!R19)/'Imputed Data'!R19</f>
        <v>9.6774193548387025E-2</v>
      </c>
      <c r="S31" s="7">
        <f>('Imputed Data'!S31-'Imputed Data'!S19)/'Imputed Data'!S19</f>
        <v>6.3973063973064043E-2</v>
      </c>
      <c r="T31" s="7">
        <f>('Imputed Data'!T31-'Imputed Data'!T19)/'Imputed Data'!T19</f>
        <v>5.5363321799308009E-2</v>
      </c>
      <c r="U31" s="7">
        <f>('Imputed Data'!U31-'Imputed Data'!U19)/'Imputed Data'!U19</f>
        <v>6.2552831783601062E-2</v>
      </c>
      <c r="V31" s="7">
        <f>('Imputed Data'!V31-'Imputed Data'!V19)/'Imputed Data'!V19</f>
        <v>4.4776119402985023E-2</v>
      </c>
      <c r="W31" s="7">
        <f>('Imputed Data'!W31-'Imputed Data'!W19)/'Imputed Data'!W19</f>
        <v>5.8303886925795002E-2</v>
      </c>
      <c r="X31" s="7">
        <f>('Imputed Data'!X31-'Imputed Data'!X19)/'Imputed Data'!X19</f>
        <v>5.6719022687609075E-2</v>
      </c>
      <c r="Y31" s="7">
        <f>('Imputed Data'!Y31-'Imputed Data'!Y19)/'Imputed Data'!Y19</f>
        <v>5.5209260908281418E-2</v>
      </c>
      <c r="Z31" s="7">
        <f>('Imputed Data'!Z31-'Imputed Data'!Z19)/'Imputed Data'!Z19</f>
        <v>9.8389982110913109E-3</v>
      </c>
      <c r="AA31" s="7">
        <f>('Imputed Data'!AA31-'Imputed Data'!AA19)/'Imputed Data'!AA19</f>
        <v>4.7491039426523399E-2</v>
      </c>
      <c r="AB31" s="7">
        <f>('Imputed Data'!AB31-'Imputed Data'!AB19)/'Imputed Data'!AB19</f>
        <v>7.2299651567944226E-2</v>
      </c>
      <c r="AC31" s="7">
        <f>('Imputed Data'!AC31-'Imputed Data'!AC19)/'Imputed Data'!AC19</f>
        <v>4.1551246537396121E-2</v>
      </c>
      <c r="AD31" s="7">
        <f>('Imputed Data'!AD31-'Imputed Data'!AD19)/'Imputed Data'!AD19</f>
        <v>4.1852181656277854E-2</v>
      </c>
      <c r="AE31" s="7">
        <f>('Imputed Data'!AE31-'Imputed Data'!AE19)/'Imputed Data'!AE19</f>
        <v>5.398457583547555E-2</v>
      </c>
    </row>
    <row r="32" spans="1:31" x14ac:dyDescent="0.25">
      <c r="A32" s="1">
        <f>'Imputed Data'!A32</f>
        <v>42186</v>
      </c>
      <c r="B32" s="1" t="str">
        <f>'Imputed Data'!B32</f>
        <v>Rural+Urban</v>
      </c>
      <c r="C32" s="2">
        <f>'Imputed Data'!C32</f>
        <v>2015</v>
      </c>
      <c r="D32" s="1" t="str">
        <f>'Imputed Data'!D32</f>
        <v>July</v>
      </c>
      <c r="E32" s="7">
        <f>('Imputed Data'!E32-'Imputed Data'!E20)/'Imputed Data'!E20</f>
        <v>1.0620915032679715E-2</v>
      </c>
      <c r="F32" s="7">
        <f>('Imputed Data'!F32-'Imputed Data'!F20)/'Imputed Data'!F20</f>
        <v>6.9410815173526985E-2</v>
      </c>
      <c r="G32" s="7">
        <f>('Imputed Data'!G32-'Imputed Data'!G20)/'Imputed Data'!G20</f>
        <v>2.7164685908319209E-2</v>
      </c>
      <c r="H32" s="7">
        <f>('Imputed Data'!H32-'Imputed Data'!H20)/'Imputed Data'!H20</f>
        <v>6.0330578512396787E-2</v>
      </c>
      <c r="I32" s="7">
        <f>('Imputed Data'!I32-'Imputed Data'!I20)/'Imputed Data'!I20</f>
        <v>2.7803521779425393E-2</v>
      </c>
      <c r="J32" s="7">
        <f>('Imputed Data'!J32-'Imputed Data'!J20)/'Imputed Data'!J20</f>
        <v>1.4481707317073215E-2</v>
      </c>
      <c r="K32" s="7">
        <f>('Imputed Data'!K32-'Imputed Data'!K20)/'Imputed Data'!K20</f>
        <v>-7.9898541534559261E-2</v>
      </c>
      <c r="L32" s="7">
        <f>('Imputed Data'!L32-'Imputed Data'!L20)/'Imputed Data'!L20</f>
        <v>0.2287985865724381</v>
      </c>
      <c r="M32" s="7">
        <f>('Imputed Data'!M32-'Imputed Data'!M20)/'Imputed Data'!M20</f>
        <v>-0.12295869356388087</v>
      </c>
      <c r="N32" s="7">
        <f>('Imputed Data'!N32-'Imputed Data'!N20)/'Imputed Data'!N20</f>
        <v>9.1774891774891731E-2</v>
      </c>
      <c r="O32" s="7">
        <f>('Imputed Data'!O32-'Imputed Data'!O20)/'Imputed Data'!O20</f>
        <v>4.4425087108014009E-2</v>
      </c>
      <c r="P32" s="7">
        <f>('Imputed Data'!P32-'Imputed Data'!P20)/'Imputed Data'!P20</f>
        <v>7.616707616707627E-2</v>
      </c>
      <c r="Q32" s="7">
        <f>('Imputed Data'!Q32-'Imputed Data'!Q20)/'Imputed Data'!Q20</f>
        <v>2.8067361668003093E-2</v>
      </c>
      <c r="R32" s="7">
        <f>('Imputed Data'!R32-'Imputed Data'!R20)/'Imputed Data'!R20</f>
        <v>9.7643097643097712E-2</v>
      </c>
      <c r="S32" s="7">
        <f>('Imputed Data'!S32-'Imputed Data'!S20)/'Imputed Data'!S20</f>
        <v>5.9364548494983349E-2</v>
      </c>
      <c r="T32" s="7">
        <f>('Imputed Data'!T32-'Imputed Data'!T20)/'Imputed Data'!T20</f>
        <v>5.1590713671539126E-2</v>
      </c>
      <c r="U32" s="7">
        <f>('Imputed Data'!U32-'Imputed Data'!U20)/'Imputed Data'!U20</f>
        <v>5.8774139378673387E-2</v>
      </c>
      <c r="V32" s="7">
        <f>('Imputed Data'!V32-'Imputed Data'!V20)/'Imputed Data'!V20</f>
        <v>4.4425087108014009E-2</v>
      </c>
      <c r="W32" s="7">
        <f>('Imputed Data'!W32-'Imputed Data'!W20)/'Imputed Data'!W20</f>
        <v>5.4433713784020968E-2</v>
      </c>
      <c r="X32" s="7">
        <f>('Imputed Data'!X32-'Imputed Data'!X20)/'Imputed Data'!X20</f>
        <v>5.295138888888884E-2</v>
      </c>
      <c r="Y32" s="7">
        <f>('Imputed Data'!Y32-'Imputed Data'!Y20)/'Imputed Data'!Y20</f>
        <v>5.5900621118012396E-2</v>
      </c>
      <c r="Z32" s="7">
        <f>('Imputed Data'!Z32-'Imputed Data'!Z20)/'Imputed Data'!Z20</f>
        <v>-3.5366931918655304E-3</v>
      </c>
      <c r="AA32" s="7">
        <f>('Imputed Data'!AA32-'Imputed Data'!AA20)/'Imputed Data'!AA20</f>
        <v>4.5495093666369391E-2</v>
      </c>
      <c r="AB32" s="7">
        <f>('Imputed Data'!AB32-'Imputed Data'!AB20)/'Imputed Data'!AB20</f>
        <v>6.5068493150685011E-2</v>
      </c>
      <c r="AC32" s="7">
        <f>('Imputed Data'!AC32-'Imputed Data'!AC20)/'Imputed Data'!AC20</f>
        <v>2.8388278388278336E-2</v>
      </c>
      <c r="AD32" s="7">
        <f>('Imputed Data'!AD32-'Imputed Data'!AD20)/'Imputed Data'!AD20</f>
        <v>3.4421888790820879E-2</v>
      </c>
      <c r="AE32" s="7">
        <f>('Imputed Data'!AE32-'Imputed Data'!AE20)/'Imputed Data'!AE20</f>
        <v>3.6912751677852275E-2</v>
      </c>
    </row>
    <row r="33" spans="1:31" x14ac:dyDescent="0.25">
      <c r="A33" s="1">
        <f>'Imputed Data'!A33</f>
        <v>42217</v>
      </c>
      <c r="B33" s="1" t="str">
        <f>'Imputed Data'!B33</f>
        <v>Rural+Urban</v>
      </c>
      <c r="C33" s="2">
        <f>'Imputed Data'!C33</f>
        <v>2015</v>
      </c>
      <c r="D33" s="1" t="str">
        <f>'Imputed Data'!D33</f>
        <v>August</v>
      </c>
      <c r="E33" s="7">
        <f>('Imputed Data'!E33-'Imputed Data'!E21)/'Imputed Data'!E21</f>
        <v>1.2224938875305623E-2</v>
      </c>
      <c r="F33" s="7">
        <f>('Imputed Data'!F33-'Imputed Data'!F21)/'Imputed Data'!F21</f>
        <v>5.6270096463022508E-2</v>
      </c>
      <c r="G33" s="7">
        <f>('Imputed Data'!G33-'Imputed Data'!G21)/'Imputed Data'!G21</f>
        <v>2.387041773231029E-2</v>
      </c>
      <c r="H33" s="7">
        <f>('Imputed Data'!H33-'Imputed Data'!H21)/'Imputed Data'!H21</f>
        <v>5.3278688524590161E-2</v>
      </c>
      <c r="I33" s="7">
        <f>('Imputed Data'!I33-'Imputed Data'!I21)/'Imputed Data'!I21</f>
        <v>3.1481481481481534E-2</v>
      </c>
      <c r="J33" s="7">
        <f>('Imputed Data'!J33-'Imputed Data'!J21)/'Imputed Data'!J21</f>
        <v>9.1533180778033338E-3</v>
      </c>
      <c r="K33" s="7">
        <f>('Imputed Data'!K33-'Imputed Data'!K21)/'Imputed Data'!K21</f>
        <v>-6.3020214030915553E-2</v>
      </c>
      <c r="L33" s="7">
        <f>('Imputed Data'!L33-'Imputed Data'!L21)/'Imputed Data'!L21</f>
        <v>0.2576419213973799</v>
      </c>
      <c r="M33" s="7">
        <f>('Imputed Data'!M33-'Imputed Data'!M21)/'Imputed Data'!M21</f>
        <v>-0.13231064237775644</v>
      </c>
      <c r="N33" s="7">
        <f>('Imputed Data'!N33-'Imputed Data'!N21)/'Imputed Data'!N21</f>
        <v>8.2835183603757495E-2</v>
      </c>
      <c r="O33" s="7">
        <f>('Imputed Data'!O33-'Imputed Data'!O21)/'Imputed Data'!O21</f>
        <v>4.5138888888888916E-2</v>
      </c>
      <c r="P33" s="7">
        <f>('Imputed Data'!P33-'Imputed Data'!P21)/'Imputed Data'!P21</f>
        <v>7.3111291632818848E-2</v>
      </c>
      <c r="Q33" s="7">
        <f>('Imputed Data'!Q33-'Imputed Data'!Q21)/'Imputed Data'!Q21</f>
        <v>2.922590837282794E-2</v>
      </c>
      <c r="R33" s="7">
        <f>('Imputed Data'!R33-'Imputed Data'!R21)/'Imputed Data'!R21</f>
        <v>9.4245204336947316E-2</v>
      </c>
      <c r="S33" s="7">
        <f>('Imputed Data'!S33-'Imputed Data'!S21)/'Imputed Data'!S21</f>
        <v>6.0000000000000026E-2</v>
      </c>
      <c r="T33" s="7">
        <f>('Imputed Data'!T33-'Imputed Data'!T21)/'Imputed Data'!T21</f>
        <v>5.2226027397260351E-2</v>
      </c>
      <c r="U33" s="7">
        <f>('Imputed Data'!U33-'Imputed Data'!U21)/'Imputed Data'!U21</f>
        <v>5.8528428093645488E-2</v>
      </c>
      <c r="V33" s="7">
        <f>('Imputed Data'!V33-'Imputed Data'!V21)/'Imputed Data'!V21</f>
        <v>4.6753246753246804E-2</v>
      </c>
      <c r="W33" s="7">
        <f>('Imputed Data'!W33-'Imputed Data'!W21)/'Imputed Data'!W21</f>
        <v>5.7894736842105214E-2</v>
      </c>
      <c r="X33" s="7">
        <f>('Imputed Data'!X33-'Imputed Data'!X21)/'Imputed Data'!X21</f>
        <v>5.5363321799308009E-2</v>
      </c>
      <c r="Y33" s="7">
        <f>('Imputed Data'!Y33-'Imputed Data'!Y21)/'Imputed Data'!Y21</f>
        <v>5.3839364518976245E-2</v>
      </c>
      <c r="Z33" s="7">
        <f>('Imputed Data'!Z33-'Imputed Data'!Z21)/'Imputed Data'!Z21</f>
        <v>-9.75177304964534E-3</v>
      </c>
      <c r="AA33" s="7">
        <f>('Imputed Data'!AA33-'Imputed Data'!AA21)/'Imputed Data'!AA21</f>
        <v>4.6181172291296653E-2</v>
      </c>
      <c r="AB33" s="7">
        <f>('Imputed Data'!AB33-'Imputed Data'!AB21)/'Imputed Data'!AB21</f>
        <v>6.0169491525423682E-2</v>
      </c>
      <c r="AC33" s="7">
        <f>('Imputed Data'!AC33-'Imputed Data'!AC21)/'Imputed Data'!AC21</f>
        <v>2.1838034576888002E-2</v>
      </c>
      <c r="AD33" s="7">
        <f>('Imputed Data'!AD33-'Imputed Data'!AD21)/'Imputed Data'!AD21</f>
        <v>3.0782761653474055E-2</v>
      </c>
      <c r="AE33" s="7">
        <f>('Imputed Data'!AE33-'Imputed Data'!AE21)/'Imputed Data'!AE21</f>
        <v>3.7406483790523692E-2</v>
      </c>
    </row>
    <row r="34" spans="1:31" x14ac:dyDescent="0.25">
      <c r="A34" s="1">
        <f>'Imputed Data'!A34</f>
        <v>42248</v>
      </c>
      <c r="B34" s="1" t="str">
        <f>'Imputed Data'!B34</f>
        <v>Rural+Urban</v>
      </c>
      <c r="C34" s="2">
        <f>'Imputed Data'!C34</f>
        <v>2015</v>
      </c>
      <c r="D34" s="1" t="str">
        <f>'Imputed Data'!D34</f>
        <v>September</v>
      </c>
      <c r="E34" s="7">
        <f>('Imputed Data'!E34-'Imputed Data'!E22)/'Imputed Data'!E22</f>
        <v>1.3832384052074764E-2</v>
      </c>
      <c r="F34" s="7">
        <f>('Imputed Data'!F34-'Imputed Data'!F22)/'Imputed Data'!F22</f>
        <v>5.5870445344129598E-2</v>
      </c>
      <c r="G34" s="7">
        <f>('Imputed Data'!G34-'Imputed Data'!G22)/'Imputed Data'!G22</f>
        <v>1.1935208866155206E-2</v>
      </c>
      <c r="H34" s="7">
        <f>('Imputed Data'!H34-'Imputed Data'!H22)/'Imputed Data'!H22</f>
        <v>5.0529747351263268E-2</v>
      </c>
      <c r="I34" s="7">
        <f>('Imputed Data'!I34-'Imputed Data'!I22)/'Imputed Data'!I22</f>
        <v>3.7071362372567189E-2</v>
      </c>
      <c r="J34" s="7">
        <f>('Imputed Data'!J34-'Imputed Data'!J22)/'Imputed Data'!J22</f>
        <v>8.641005498821748E-3</v>
      </c>
      <c r="K34" s="7">
        <f>('Imputed Data'!K34-'Imputed Data'!K22)/'Imputed Data'!K22</f>
        <v>6.1690314620601065E-4</v>
      </c>
      <c r="L34" s="7">
        <f>('Imputed Data'!L34-'Imputed Data'!L22)/'Imputed Data'!L22</f>
        <v>0.29757785467128034</v>
      </c>
      <c r="M34" s="7">
        <f>('Imputed Data'!M34-'Imputed Data'!M22)/'Imputed Data'!M22</f>
        <v>-0.12909441233140648</v>
      </c>
      <c r="N34" s="7">
        <f>('Imputed Data'!N34-'Imputed Data'!N22)/'Imputed Data'!N22</f>
        <v>9.1836734693877653E-2</v>
      </c>
      <c r="O34" s="7">
        <f>('Imputed Data'!O34-'Imputed Data'!O22)/'Imputed Data'!O22</f>
        <v>4.2314335060449099E-2</v>
      </c>
      <c r="P34" s="7">
        <f>('Imputed Data'!P34-'Imputed Data'!P22)/'Imputed Data'!P22</f>
        <v>7.0274636510500837E-2</v>
      </c>
      <c r="Q34" s="7">
        <f>('Imputed Data'!Q34-'Imputed Data'!Q22)/'Imputed Data'!Q22</f>
        <v>4.2925278219395797E-2</v>
      </c>
      <c r="R34" s="7">
        <f>('Imputed Data'!R34-'Imputed Data'!R22)/'Imputed Data'!R22</f>
        <v>9.27152317880795E-2</v>
      </c>
      <c r="S34" s="7">
        <f>('Imputed Data'!S34-'Imputed Data'!S22)/'Imputed Data'!S22</f>
        <v>5.9652029826014932E-2</v>
      </c>
      <c r="T34" s="7">
        <f>('Imputed Data'!T34-'Imputed Data'!T22)/'Imputed Data'!T22</f>
        <v>5.2901023890785007E-2</v>
      </c>
      <c r="U34" s="7">
        <f>('Imputed Data'!U34-'Imputed Data'!U22)/'Imputed Data'!U22</f>
        <v>5.9117402164862685E-2</v>
      </c>
      <c r="V34" s="7">
        <f>('Imputed Data'!V34-'Imputed Data'!V22)/'Imputed Data'!V22</f>
        <v>4.7372954349698536E-2</v>
      </c>
      <c r="W34" s="7">
        <f>('Imputed Data'!W34-'Imputed Data'!W22)/'Imputed Data'!W22</f>
        <v>5.3368328958880218E-2</v>
      </c>
      <c r="X34" s="7">
        <f>('Imputed Data'!X34-'Imputed Data'!X22)/'Imputed Data'!X22</f>
        <v>5.5986218776916452E-2</v>
      </c>
      <c r="Y34" s="7">
        <f>('Imputed Data'!Y34-'Imputed Data'!Y22)/'Imputed Data'!Y22</f>
        <v>5.3649956024626161E-2</v>
      </c>
      <c r="Z34" s="7">
        <f>('Imputed Data'!Z34-'Imputed Data'!Z22)/'Imputed Data'!Z22</f>
        <v>-6.2500000000000255E-3</v>
      </c>
      <c r="AA34" s="7">
        <f>('Imputed Data'!AA34-'Imputed Data'!AA22)/'Imputed Data'!AA22</f>
        <v>4.5977011494252901E-2</v>
      </c>
      <c r="AB34" s="7">
        <f>('Imputed Data'!AB34-'Imputed Data'!AB22)/'Imputed Data'!AB22</f>
        <v>5.9865092748735318E-2</v>
      </c>
      <c r="AC34" s="7">
        <f>('Imputed Data'!AC34-'Imputed Data'!AC22)/'Imputed Data'!AC22</f>
        <v>3.5616438356164438E-2</v>
      </c>
      <c r="AD34" s="7">
        <f>('Imputed Data'!AD34-'Imputed Data'!AD22)/'Imputed Data'!AD22</f>
        <v>3.3421284080914659E-2</v>
      </c>
      <c r="AE34" s="7">
        <f>('Imputed Data'!AE34-'Imputed Data'!AE22)/'Imputed Data'!AE22</f>
        <v>4.412989175686937E-2</v>
      </c>
    </row>
    <row r="35" spans="1:31" x14ac:dyDescent="0.25">
      <c r="A35" s="1">
        <f>'Imputed Data'!A35</f>
        <v>42278</v>
      </c>
      <c r="B35" s="1" t="str">
        <f>'Imputed Data'!B35</f>
        <v>Rural+Urban</v>
      </c>
      <c r="C35" s="2">
        <f>'Imputed Data'!C35</f>
        <v>2015</v>
      </c>
      <c r="D35" s="1" t="str">
        <f>'Imputed Data'!D35</f>
        <v>October</v>
      </c>
      <c r="E35" s="7">
        <f>('Imputed Data'!E35-'Imputed Data'!E23)/'Imputed Data'!E23</f>
        <v>1.4610389610389588E-2</v>
      </c>
      <c r="F35" s="7">
        <f>('Imputed Data'!F35-'Imputed Data'!F23)/'Imputed Data'!F23</f>
        <v>4.8465266558966193E-2</v>
      </c>
      <c r="G35" s="7">
        <f>('Imputed Data'!G35-'Imputed Data'!G23)/'Imputed Data'!G23</f>
        <v>6.7739204064353213E-3</v>
      </c>
      <c r="H35" s="7">
        <f>('Imputed Data'!H35-'Imputed Data'!H23)/'Imputed Data'!H23</f>
        <v>4.7889610389610322E-2</v>
      </c>
      <c r="I35" s="7">
        <f>('Imputed Data'!I35-'Imputed Data'!I23)/'Imputed Data'!I23</f>
        <v>5.0046339202965626E-2</v>
      </c>
      <c r="J35" s="7">
        <f>('Imputed Data'!J35-'Imputed Data'!J23)/'Imputed Data'!J23</f>
        <v>2.056962025316451E-2</v>
      </c>
      <c r="K35" s="7">
        <f>('Imputed Data'!K35-'Imputed Data'!K23)/'Imputed Data'!K23</f>
        <v>2.2959183673469351E-2</v>
      </c>
      <c r="L35" s="7">
        <f>('Imputed Data'!L35-'Imputed Data'!L23)/'Imputed Data'!L23</f>
        <v>0.42377260981912163</v>
      </c>
      <c r="M35" s="7">
        <f>('Imputed Data'!M35-'Imputed Data'!M23)/'Imputed Data'!M23</f>
        <v>-0.10475266731328804</v>
      </c>
      <c r="N35" s="7">
        <f>('Imputed Data'!N35-'Imputed Data'!N23)/'Imputed Data'!N23</f>
        <v>9.8221845893310705E-2</v>
      </c>
      <c r="O35" s="7">
        <f>('Imputed Data'!O35-'Imputed Data'!O23)/'Imputed Data'!O23</f>
        <v>4.3066322136089581E-2</v>
      </c>
      <c r="P35" s="7">
        <f>('Imputed Data'!P35-'Imputed Data'!P23)/'Imputed Data'!P23</f>
        <v>6.8273092369477914E-2</v>
      </c>
      <c r="Q35" s="7">
        <f>('Imputed Data'!Q35-'Imputed Data'!Q23)/'Imputed Data'!Q23</f>
        <v>5.3429027113237548E-2</v>
      </c>
      <c r="R35" s="7">
        <f>('Imputed Data'!R35-'Imputed Data'!R23)/'Imputed Data'!R23</f>
        <v>9.413707679603639E-2</v>
      </c>
      <c r="S35" s="7">
        <f>('Imputed Data'!S35-'Imputed Data'!S23)/'Imputed Data'!S23</f>
        <v>5.7613168724279837E-2</v>
      </c>
      <c r="T35" s="7">
        <f>('Imputed Data'!T35-'Imputed Data'!T23)/'Imputed Data'!T23</f>
        <v>4.8264182895851E-2</v>
      </c>
      <c r="U35" s="7">
        <f>('Imputed Data'!U35-'Imputed Data'!U23)/'Imputed Data'!U23</f>
        <v>5.6198347107437992E-2</v>
      </c>
      <c r="V35" s="7">
        <f>('Imputed Data'!V35-'Imputed Data'!V23)/'Imputed Data'!V23</f>
        <v>4.8843187660668405E-2</v>
      </c>
      <c r="W35" s="7">
        <f>('Imputed Data'!W35-'Imputed Data'!W23)/'Imputed Data'!W23</f>
        <v>5.3182214472537001E-2</v>
      </c>
      <c r="X35" s="7">
        <f>('Imputed Data'!X35-'Imputed Data'!X23)/'Imputed Data'!X23</f>
        <v>5.398457583547555E-2</v>
      </c>
      <c r="Y35" s="7">
        <f>('Imputed Data'!Y35-'Imputed Data'!Y23)/'Imputed Data'!Y23</f>
        <v>5.3368328958880218E-2</v>
      </c>
      <c r="Z35" s="7">
        <f>('Imputed Data'!Z35-'Imputed Data'!Z23)/'Imputed Data'!Z23</f>
        <v>-3.5778175313058271E-3</v>
      </c>
      <c r="AA35" s="7">
        <f>('Imputed Data'!AA35-'Imputed Data'!AA23)/'Imputed Data'!AA23</f>
        <v>4.7661076787290431E-2</v>
      </c>
      <c r="AB35" s="7">
        <f>('Imputed Data'!AB35-'Imputed Data'!AB23)/'Imputed Data'!AB23</f>
        <v>5.9764309764309839E-2</v>
      </c>
      <c r="AC35" s="7">
        <f>('Imputed Data'!AC35-'Imputed Data'!AC23)/'Imputed Data'!AC23</f>
        <v>3.9233576642335871E-2</v>
      </c>
      <c r="AD35" s="7">
        <f>('Imputed Data'!AD35-'Imputed Data'!AD23)/'Imputed Data'!AD23</f>
        <v>3.5118525021949079E-2</v>
      </c>
      <c r="AE35" s="7">
        <f>('Imputed Data'!AE35-'Imputed Data'!AE23)/'Imputed Data'!AE23</f>
        <v>4.9958368026644467E-2</v>
      </c>
    </row>
    <row r="36" spans="1:31" x14ac:dyDescent="0.25">
      <c r="A36" s="1">
        <f>'Imputed Data'!A36</f>
        <v>42309</v>
      </c>
      <c r="B36" s="1" t="str">
        <f>'Imputed Data'!B36</f>
        <v>Rural+Urban</v>
      </c>
      <c r="C36" s="2">
        <f>'Imputed Data'!C36</f>
        <v>2015</v>
      </c>
      <c r="D36" s="1" t="str">
        <f>'Imputed Data'!D36</f>
        <v>November</v>
      </c>
      <c r="E36" s="7">
        <f>('Imputed Data'!E36-'Imputed Data'!E24)/'Imputed Data'!E24</f>
        <v>1.7031630170316371E-2</v>
      </c>
      <c r="F36" s="7">
        <f>('Imputed Data'!F36-'Imputed Data'!F24)/'Imputed Data'!F24</f>
        <v>5.3354890864996028E-2</v>
      </c>
      <c r="G36" s="7">
        <f>('Imputed Data'!G36-'Imputed Data'!G24)/'Imputed Data'!G24</f>
        <v>4.9586776859503658E-3</v>
      </c>
      <c r="H36" s="7">
        <f>('Imputed Data'!H36-'Imputed Data'!H24)/'Imputed Data'!H24</f>
        <v>4.0257648953301015E-2</v>
      </c>
      <c r="I36" s="7">
        <f>('Imputed Data'!I36-'Imputed Data'!I24)/'Imputed Data'!I24</f>
        <v>6.5862708719851656E-2</v>
      </c>
      <c r="J36" s="7">
        <f>('Imputed Data'!J36-'Imputed Data'!J24)/'Imputed Data'!J24</f>
        <v>1.9888623707239345E-2</v>
      </c>
      <c r="K36" s="7">
        <f>('Imputed Data'!K36-'Imputed Data'!K24)/'Imputed Data'!K24</f>
        <v>3.937007874015748E-2</v>
      </c>
      <c r="L36" s="7">
        <f>('Imputed Data'!L36-'Imputed Data'!L24)/'Imputed Data'!L24</f>
        <v>0.46075085324232068</v>
      </c>
      <c r="M36" s="7">
        <f>('Imputed Data'!M36-'Imputed Data'!M24)/'Imputed Data'!M24</f>
        <v>-8.6190009794319275E-2</v>
      </c>
      <c r="N36" s="7">
        <f>('Imputed Data'!N36-'Imputed Data'!N24)/'Imputed Data'!N24</f>
        <v>0.10530749789384992</v>
      </c>
      <c r="O36" s="7">
        <f>('Imputed Data'!O36-'Imputed Data'!O24)/'Imputed Data'!O24</f>
        <v>4.5532646048109936E-2</v>
      </c>
      <c r="P36" s="7">
        <f>('Imputed Data'!P36-'Imputed Data'!P24)/'Imputed Data'!P24</f>
        <v>6.68789808917198E-2</v>
      </c>
      <c r="Q36" s="7">
        <f>('Imputed Data'!Q36-'Imputed Data'!Q24)/'Imputed Data'!Q24</f>
        <v>6.0751398880895244E-2</v>
      </c>
      <c r="R36" s="7">
        <f>('Imputed Data'!R36-'Imputed Data'!R24)/'Imputed Data'!R24</f>
        <v>9.4185094185094187E-2</v>
      </c>
      <c r="S36" s="7">
        <f>('Imputed Data'!S36-'Imputed Data'!S24)/'Imputed Data'!S24</f>
        <v>5.8968058968059109E-2</v>
      </c>
      <c r="T36" s="7">
        <f>('Imputed Data'!T36-'Imputed Data'!T24)/'Imputed Data'!T24</f>
        <v>5.1520270270270223E-2</v>
      </c>
      <c r="U36" s="7">
        <f>('Imputed Data'!U36-'Imputed Data'!U24)/'Imputed Data'!U24</f>
        <v>5.7565789473684216E-2</v>
      </c>
      <c r="V36" s="7">
        <f>('Imputed Data'!V36-'Imputed Data'!V24)/'Imputed Data'!V24</f>
        <v>4.9530315969257145E-2</v>
      </c>
      <c r="W36" s="7">
        <f>('Imputed Data'!W36-'Imputed Data'!W24)/'Imputed Data'!W24</f>
        <v>5.2813852813852764E-2</v>
      </c>
      <c r="X36" s="7">
        <f>('Imputed Data'!X36-'Imputed Data'!X24)/'Imputed Data'!X24</f>
        <v>5.2003410059676118E-2</v>
      </c>
      <c r="Y36" s="7">
        <f>('Imputed Data'!Y36-'Imputed Data'!Y24)/'Imputed Data'!Y24</f>
        <v>5.3135888501742237E-2</v>
      </c>
      <c r="Z36" s="7">
        <f>('Imputed Data'!Z36-'Imputed Data'!Z24)/'Imputed Data'!Z24</f>
        <v>6.3176895306859462E-3</v>
      </c>
      <c r="AA36" s="7">
        <f>('Imputed Data'!AA36-'Imputed Data'!AA24)/'Imputed Data'!AA24</f>
        <v>4.8372911169744945E-2</v>
      </c>
      <c r="AB36" s="7">
        <f>('Imputed Data'!AB36-'Imputed Data'!AB24)/'Imputed Data'!AB24</f>
        <v>6.1344537815126027E-2</v>
      </c>
      <c r="AC36" s="7">
        <f>('Imputed Data'!AC36-'Imputed Data'!AC24)/'Imputed Data'!AC24</f>
        <v>4.3079743354720465E-2</v>
      </c>
      <c r="AD36" s="7">
        <f>('Imputed Data'!AD36-'Imputed Data'!AD24)/'Imputed Data'!AD24</f>
        <v>3.7785588752196814E-2</v>
      </c>
      <c r="AE36" s="7">
        <f>('Imputed Data'!AE36-'Imputed Data'!AE24)/'Imputed Data'!AE24</f>
        <v>5.4121565362198171E-2</v>
      </c>
    </row>
    <row r="37" spans="1:31" x14ac:dyDescent="0.25">
      <c r="A37" s="1">
        <f>'Imputed Data'!A37</f>
        <v>42339</v>
      </c>
      <c r="B37" s="1" t="str">
        <f>'Imputed Data'!B37</f>
        <v>Rural+Urban</v>
      </c>
      <c r="C37" s="2">
        <f>'Imputed Data'!C37</f>
        <v>2015</v>
      </c>
      <c r="D37" s="1" t="str">
        <f>'Imputed Data'!D37</f>
        <v>December</v>
      </c>
      <c r="E37" s="7">
        <f>('Imputed Data'!E37-'Imputed Data'!E25)/'Imputed Data'!E25</f>
        <v>2.2782750203417388E-2</v>
      </c>
      <c r="F37" s="7">
        <f>('Imputed Data'!F37-'Imputed Data'!F25)/'Imputed Data'!F25</f>
        <v>6.6558441558441581E-2</v>
      </c>
      <c r="G37" s="7">
        <f>('Imputed Data'!G37-'Imputed Data'!G25)/'Imputed Data'!G25</f>
        <v>1.0526315789473661E-2</v>
      </c>
      <c r="H37" s="7">
        <f>('Imputed Data'!H37-'Imputed Data'!H25)/'Imputed Data'!H25</f>
        <v>3.9357429718875549E-2</v>
      </c>
      <c r="I37" s="7">
        <f>('Imputed Data'!I37-'Imputed Data'!I25)/'Imputed Data'!I25</f>
        <v>7.1561338289962861E-2</v>
      </c>
      <c r="J37" s="7">
        <f>('Imputed Data'!J37-'Imputed Data'!J25)/'Imputed Data'!J25</f>
        <v>7.1599045346061371E-3</v>
      </c>
      <c r="K37" s="7">
        <f>('Imputed Data'!K37-'Imputed Data'!K25)/'Imputed Data'!K25</f>
        <v>4.4128113879003478E-2</v>
      </c>
      <c r="L37" s="7">
        <f>('Imputed Data'!L37-'Imputed Data'!L25)/'Imputed Data'!L25</f>
        <v>0.45833333333333343</v>
      </c>
      <c r="M37" s="7">
        <f>('Imputed Data'!M37-'Imputed Data'!M25)/'Imputed Data'!M25</f>
        <v>-6.0636182902584441E-2</v>
      </c>
      <c r="N37" s="7">
        <f>('Imputed Data'!N37-'Imputed Data'!N25)/'Imputed Data'!N25</f>
        <v>0.109151973131822</v>
      </c>
      <c r="O37" s="7">
        <f>('Imputed Data'!O37-'Imputed Data'!O25)/'Imputed Data'!O25</f>
        <v>4.4520547945205505E-2</v>
      </c>
      <c r="P37" s="7">
        <f>('Imputed Data'!P37-'Imputed Data'!P25)/'Imputed Data'!P25</f>
        <v>6.8199841395717636E-2</v>
      </c>
      <c r="Q37" s="7">
        <f>('Imputed Data'!Q37-'Imputed Data'!Q25)/'Imputed Data'!Q25</f>
        <v>6.3106796116504951E-2</v>
      </c>
      <c r="R37" s="7">
        <f>('Imputed Data'!R37-'Imputed Data'!R25)/'Imputed Data'!R25</f>
        <v>9.3495934959349589E-2</v>
      </c>
      <c r="S37" s="7">
        <f>('Imputed Data'!S37-'Imputed Data'!S25)/'Imputed Data'!S25</f>
        <v>5.7911908646003221E-2</v>
      </c>
      <c r="T37" s="7">
        <f>('Imputed Data'!T37-'Imputed Data'!T25)/'Imputed Data'!T25</f>
        <v>5.2276559865092775E-2</v>
      </c>
      <c r="U37" s="7">
        <f>('Imputed Data'!U37-'Imputed Data'!U25)/'Imputed Data'!U25</f>
        <v>5.737704918032787E-2</v>
      </c>
      <c r="V37" s="7">
        <f>('Imputed Data'!V37-'Imputed Data'!V25)/'Imputed Data'!V25</f>
        <v>5.0643776824034384E-2</v>
      </c>
      <c r="W37" s="7">
        <f>('Imputed Data'!W37-'Imputed Data'!W25)/'Imputed Data'!W25</f>
        <v>5.445116681071735E-2</v>
      </c>
      <c r="X37" s="7">
        <f>('Imputed Data'!X37-'Imputed Data'!X25)/'Imputed Data'!X25</f>
        <v>5.1914893617021229E-2</v>
      </c>
      <c r="Y37" s="7">
        <f>('Imputed Data'!Y37-'Imputed Data'!Y25)/'Imputed Data'!Y25</f>
        <v>5.4735013032146063E-2</v>
      </c>
      <c r="Z37" s="7">
        <f>('Imputed Data'!Z37-'Imputed Data'!Z25)/'Imputed Data'!Z25</f>
        <v>1.2715712988192605E-2</v>
      </c>
      <c r="AA37" s="7">
        <f>('Imputed Data'!AA37-'Imputed Data'!AA25)/'Imputed Data'!AA25</f>
        <v>5.0043898156277335E-2</v>
      </c>
      <c r="AB37" s="7">
        <f>('Imputed Data'!AB37-'Imputed Data'!AB25)/'Imputed Data'!AB25</f>
        <v>5.6066945606694583E-2</v>
      </c>
      <c r="AC37" s="7">
        <f>('Imputed Data'!AC37-'Imputed Data'!AC25)/'Imputed Data'!AC25</f>
        <v>3.5519125683060163E-2</v>
      </c>
      <c r="AD37" s="7">
        <f>('Imputed Data'!AD37-'Imputed Data'!AD25)/'Imputed Data'!AD25</f>
        <v>3.9543057996485061E-2</v>
      </c>
      <c r="AE37" s="7">
        <f>('Imputed Data'!AE37-'Imputed Data'!AE25)/'Imputed Data'!AE25</f>
        <v>5.611390284757109E-2</v>
      </c>
    </row>
    <row r="38" spans="1:31" x14ac:dyDescent="0.25">
      <c r="A38" s="1">
        <f>'Imputed Data'!A38</f>
        <v>42370</v>
      </c>
      <c r="B38" s="1" t="str">
        <f>'Imputed Data'!B38</f>
        <v>Rural+Urban</v>
      </c>
      <c r="C38" s="2">
        <f>'Imputed Data'!C38</f>
        <v>2016</v>
      </c>
      <c r="D38" s="1" t="str">
        <f>'Imputed Data'!D38</f>
        <v>January</v>
      </c>
      <c r="E38" s="7">
        <f>('Imputed Data'!E38-'Imputed Data'!E26)/'Imputed Data'!E26</f>
        <v>2.1880064829821626E-2</v>
      </c>
      <c r="F38" s="7">
        <f>('Imputed Data'!F38-'Imputed Data'!F26)/'Imputed Data'!F26</f>
        <v>8.232445520581104E-2</v>
      </c>
      <c r="G38" s="7">
        <f>('Imputed Data'!G38-'Imputed Data'!G26)/'Imputed Data'!G26</f>
        <v>3.8772213247172838E-2</v>
      </c>
      <c r="H38" s="7">
        <f>('Imputed Data'!H38-'Imputed Data'!H26)/'Imputed Data'!H26</f>
        <v>3.9200000000000047E-2</v>
      </c>
      <c r="I38" s="7">
        <f>('Imputed Data'!I38-'Imputed Data'!I26)/'Imputed Data'!I26</f>
        <v>6.4516129032258063E-2</v>
      </c>
      <c r="J38" s="7">
        <f>('Imputed Data'!J38-'Imputed Data'!J26)/'Imputed Data'!J26</f>
        <v>-3.9619651347068147E-3</v>
      </c>
      <c r="K38" s="7">
        <f>('Imputed Data'!K38-'Imputed Data'!K26)/'Imputed Data'!K26</f>
        <v>6.3909774436090222E-2</v>
      </c>
      <c r="L38" s="7">
        <f>('Imputed Data'!L38-'Imputed Data'!L26)/'Imputed Data'!L26</f>
        <v>0.43324937027707805</v>
      </c>
      <c r="M38" s="7">
        <f>('Imputed Data'!M38-'Imputed Data'!M26)/'Imputed Data'!M26</f>
        <v>-1.6161616161616103E-2</v>
      </c>
      <c r="N38" s="7">
        <f>('Imputed Data'!N38-'Imputed Data'!N26)/'Imputed Data'!N26</f>
        <v>0.1047381546134664</v>
      </c>
      <c r="O38" s="7">
        <f>('Imputed Data'!O38-'Imputed Data'!O26)/'Imputed Data'!O26</f>
        <v>4.6035805626598515E-2</v>
      </c>
      <c r="P38" s="7">
        <f>('Imputed Data'!P38-'Imputed Data'!P26)/'Imputed Data'!P26</f>
        <v>6.7876874506708831E-2</v>
      </c>
      <c r="Q38" s="7">
        <f>('Imputed Data'!Q38-'Imputed Data'!Q26)/'Imputed Data'!Q26</f>
        <v>6.6612510154346202E-2</v>
      </c>
      <c r="R38" s="7">
        <f>('Imputed Data'!R38-'Imputed Data'!R26)/'Imputed Data'!R26</f>
        <v>9.0322580645161202E-2</v>
      </c>
      <c r="S38" s="7">
        <f>('Imputed Data'!S38-'Imputed Data'!S26)/'Imputed Data'!S26</f>
        <v>5.8489033306255218E-2</v>
      </c>
      <c r="T38" s="7">
        <f>('Imputed Data'!T38-'Imputed Data'!T26)/'Imputed Data'!T26</f>
        <v>4.8616932103939622E-2</v>
      </c>
      <c r="U38" s="7">
        <f>('Imputed Data'!U38-'Imputed Data'!U26)/'Imputed Data'!U26</f>
        <v>5.7142857142857141E-2</v>
      </c>
      <c r="V38" s="7">
        <f>('Imputed Data'!V38-'Imputed Data'!V26)/'Imputed Data'!V26</f>
        <v>5.2003410059676118E-2</v>
      </c>
      <c r="W38" s="7">
        <f>('Imputed Data'!W38-'Imputed Data'!W26)/'Imputed Data'!W26</f>
        <v>5.32188841201717E-2</v>
      </c>
      <c r="X38" s="7">
        <f>('Imputed Data'!X38-'Imputed Data'!X26)/'Imputed Data'!X26</f>
        <v>5.165114309906866E-2</v>
      </c>
      <c r="Y38" s="7">
        <f>('Imputed Data'!Y38-'Imputed Data'!Y26)/'Imputed Data'!Y26</f>
        <v>5.627705627705628E-2</v>
      </c>
      <c r="Z38" s="7">
        <f>('Imputed Data'!Z38-'Imputed Data'!Z26)/'Imputed Data'!Z26</f>
        <v>1.5539305301645233E-2</v>
      </c>
      <c r="AA38" s="7">
        <f>('Imputed Data'!AA38-'Imputed Data'!AA26)/'Imputed Data'!AA26</f>
        <v>4.8118985126859144E-2</v>
      </c>
      <c r="AB38" s="7">
        <f>('Imputed Data'!AB38-'Imputed Data'!AB26)/'Imputed Data'!AB26</f>
        <v>5.513784461152877E-2</v>
      </c>
      <c r="AC38" s="7">
        <f>('Imputed Data'!AC38-'Imputed Data'!AC26)/'Imputed Data'!AC26</f>
        <v>3.4327009936766011E-2</v>
      </c>
      <c r="AD38" s="7">
        <f>('Imputed Data'!AD38-'Imputed Data'!AD26)/'Imputed Data'!AD26</f>
        <v>3.9473684210526314E-2</v>
      </c>
      <c r="AE38" s="7">
        <f>('Imputed Data'!AE38-'Imputed Data'!AE26)/'Imputed Data'!AE26</f>
        <v>5.6903765690376543E-2</v>
      </c>
    </row>
    <row r="39" spans="1:31" x14ac:dyDescent="0.25">
      <c r="A39" s="1">
        <f>'Imputed Data'!A39</f>
        <v>42401</v>
      </c>
      <c r="B39" s="1" t="str">
        <f>'Imputed Data'!B39</f>
        <v>Rural+Urban</v>
      </c>
      <c r="C39" s="2">
        <f>'Imputed Data'!C39</f>
        <v>2016</v>
      </c>
      <c r="D39" s="1" t="str">
        <f>'Imputed Data'!D39</f>
        <v>February</v>
      </c>
      <c r="E39" s="7">
        <f>('Imputed Data'!E39-'Imputed Data'!E27)/'Imputed Data'!E27</f>
        <v>2.1827000808407458E-2</v>
      </c>
      <c r="F39" s="7">
        <f>('Imputed Data'!F39-'Imputed Data'!F27)/'Imputed Data'!F27</f>
        <v>7.274180655475615E-2</v>
      </c>
      <c r="G39" s="7">
        <f>('Imputed Data'!G39-'Imputed Data'!G27)/'Imputed Data'!G27</f>
        <v>6.2758051197357514E-2</v>
      </c>
      <c r="H39" s="7">
        <f>('Imputed Data'!H39-'Imputed Data'!H27)/'Imputed Data'!H27</f>
        <v>3.659506762132067E-2</v>
      </c>
      <c r="I39" s="7">
        <f>('Imputed Data'!I39-'Imputed Data'!I27)/'Imputed Data'!I27</f>
        <v>5.2245646196150353E-2</v>
      </c>
      <c r="J39" s="7">
        <f>('Imputed Data'!J39-'Imputed Data'!J27)/'Imputed Data'!J27</f>
        <v>-7.1542130365659104E-3</v>
      </c>
      <c r="K39" s="7">
        <f>('Imputed Data'!K39-'Imputed Data'!K27)/'Imputed Data'!K27</f>
        <v>6.9551777434312644E-3</v>
      </c>
      <c r="L39" s="7">
        <f>('Imputed Data'!L39-'Imputed Data'!L27)/'Imputed Data'!L27</f>
        <v>0.38461538461538458</v>
      </c>
      <c r="M39" s="7">
        <f>('Imputed Data'!M39-'Imputed Data'!M27)/'Imputed Data'!M27</f>
        <v>5.0864699898270603E-3</v>
      </c>
      <c r="N39" s="7">
        <f>('Imputed Data'!N39-'Imputed Data'!N27)/'Imputed Data'!N27</f>
        <v>9.8684210526315791E-2</v>
      </c>
      <c r="O39" s="7">
        <f>('Imputed Data'!O39-'Imputed Data'!O27)/'Imputed Data'!O27</f>
        <v>4.2372881355932202E-2</v>
      </c>
      <c r="P39" s="7">
        <f>('Imputed Data'!P39-'Imputed Data'!P27)/'Imputed Data'!P27</f>
        <v>6.426332288401268E-2</v>
      </c>
      <c r="Q39" s="7">
        <f>('Imputed Data'!Q39-'Imputed Data'!Q27)/'Imputed Data'!Q27</f>
        <v>5.5239642567018778E-2</v>
      </c>
      <c r="R39" s="7">
        <f>('Imputed Data'!R39-'Imputed Data'!R27)/'Imputed Data'!R27</f>
        <v>8.546325878594252E-2</v>
      </c>
      <c r="S39" s="7">
        <f>('Imputed Data'!S39-'Imputed Data'!S27)/'Imputed Data'!S27</f>
        <v>5.7350565428109922E-2</v>
      </c>
      <c r="T39" s="7">
        <f>('Imputed Data'!T39-'Imputed Data'!T27)/'Imputed Data'!T27</f>
        <v>4.7460449625312269E-2</v>
      </c>
      <c r="U39" s="7">
        <f>('Imputed Data'!U39-'Imputed Data'!U27)/'Imputed Data'!U27</f>
        <v>5.5961070559610637E-2</v>
      </c>
      <c r="V39" s="7">
        <f>('Imputed Data'!V39-'Imputed Data'!V27)/'Imputed Data'!V27</f>
        <v>5.3344623200677489E-2</v>
      </c>
      <c r="W39" s="7">
        <f>('Imputed Data'!W39-'Imputed Data'!W27)/'Imputed Data'!W27</f>
        <v>4.587935429056917E-2</v>
      </c>
      <c r="X39" s="7">
        <f>('Imputed Data'!X39-'Imputed Data'!X27)/'Imputed Data'!X27</f>
        <v>4.9705139005897146E-2</v>
      </c>
      <c r="Y39" s="7">
        <f>('Imputed Data'!Y39-'Imputed Data'!Y27)/'Imputed Data'!Y27</f>
        <v>5.331040412725712E-2</v>
      </c>
      <c r="Z39" s="7">
        <f>('Imputed Data'!Z39-'Imputed Data'!Z27)/'Imputed Data'!Z27</f>
        <v>2.4839006439742437E-2</v>
      </c>
      <c r="AA39" s="7">
        <f>('Imputed Data'!AA39-'Imputed Data'!AA27)/'Imputed Data'!AA27</f>
        <v>4.6997389033942481E-2</v>
      </c>
      <c r="AB39" s="7">
        <f>('Imputed Data'!AB39-'Imputed Data'!AB27)/'Imputed Data'!AB27</f>
        <v>5.764411027568915E-2</v>
      </c>
      <c r="AC39" s="7">
        <f>('Imputed Data'!AC39-'Imputed Data'!AC27)/'Imputed Data'!AC27</f>
        <v>4.8561151079136611E-2</v>
      </c>
      <c r="AD39" s="7">
        <f>('Imputed Data'!AD39-'Imputed Data'!AD27)/'Imputed Data'!AD27</f>
        <v>4.3821209465381247E-2</v>
      </c>
      <c r="AE39" s="7">
        <f>('Imputed Data'!AE39-'Imputed Data'!AE27)/'Imputed Data'!AE27</f>
        <v>5.2631578947368397E-2</v>
      </c>
    </row>
    <row r="40" spans="1:31" x14ac:dyDescent="0.25">
      <c r="A40" s="1">
        <f>'Imputed Data'!A40</f>
        <v>42430</v>
      </c>
      <c r="B40" s="1" t="str">
        <f>'Imputed Data'!B40</f>
        <v>Rural+Urban</v>
      </c>
      <c r="C40" s="2">
        <f>'Imputed Data'!C40</f>
        <v>2016</v>
      </c>
      <c r="D40" s="1" t="str">
        <f>'Imputed Data'!D40</f>
        <v>March</v>
      </c>
      <c r="E40" s="7">
        <f>('Imputed Data'!E40-'Imputed Data'!E28)/'Imputed Data'!E28</f>
        <v>2.4291497975708502E-2</v>
      </c>
      <c r="F40" s="7">
        <f>('Imputed Data'!F40-'Imputed Data'!F28)/'Imputed Data'!F28</f>
        <v>7.7352472089314103E-2</v>
      </c>
      <c r="G40" s="7">
        <f>('Imputed Data'!G40-'Imputed Data'!G28)/'Imputed Data'!G28</f>
        <v>6.6780821917808195E-2</v>
      </c>
      <c r="H40" s="7">
        <f>('Imputed Data'!H40-'Imputed Data'!H28)/'Imputed Data'!H28</f>
        <v>3.3333333333333243E-2</v>
      </c>
      <c r="I40" s="7">
        <f>('Imputed Data'!I40-'Imputed Data'!I28)/'Imputed Data'!I28</f>
        <v>4.8534798534798508E-2</v>
      </c>
      <c r="J40" s="7">
        <f>('Imputed Data'!J40-'Imputed Data'!J28)/'Imputed Data'!J28</f>
        <v>-1.0971786833855733E-2</v>
      </c>
      <c r="K40" s="7">
        <f>('Imputed Data'!K40-'Imputed Data'!K28)/'Imputed Data'!K28</f>
        <v>4.6439628482973904E-3</v>
      </c>
      <c r="L40" s="7">
        <f>('Imputed Data'!L40-'Imputed Data'!L28)/'Imputed Data'!L28</f>
        <v>0.3423202614379085</v>
      </c>
      <c r="M40" s="7">
        <f>('Imputed Data'!M40-'Imputed Data'!M28)/'Imputed Data'!M28</f>
        <v>4.0206185567010368E-2</v>
      </c>
      <c r="N40" s="7">
        <f>('Imputed Data'!N40-'Imputed Data'!N28)/'Imputed Data'!N28</f>
        <v>9.6642096642096734E-2</v>
      </c>
      <c r="O40" s="7">
        <f>('Imputed Data'!O40-'Imputed Data'!O28)/'Imputed Data'!O28</f>
        <v>4.2337002540220152E-2</v>
      </c>
      <c r="P40" s="7">
        <f>('Imputed Data'!P40-'Imputed Data'!P28)/'Imputed Data'!P28</f>
        <v>6.1526479750778858E-2</v>
      </c>
      <c r="Q40" s="7">
        <f>('Imputed Data'!Q40-'Imputed Data'!Q28)/'Imputed Data'!Q28</f>
        <v>5.1863857374392267E-2</v>
      </c>
      <c r="R40" s="7">
        <f>('Imputed Data'!R40-'Imputed Data'!R28)/'Imputed Data'!R28</f>
        <v>8.5055643879173318E-2</v>
      </c>
      <c r="S40" s="7">
        <f>('Imputed Data'!S40-'Imputed Data'!S28)/'Imputed Data'!S28</f>
        <v>5.631536604987944E-2</v>
      </c>
      <c r="T40" s="7">
        <f>('Imputed Data'!T40-'Imputed Data'!T28)/'Imputed Data'!T28</f>
        <v>4.7342192691029801E-2</v>
      </c>
      <c r="U40" s="7">
        <f>('Imputed Data'!U40-'Imputed Data'!U28)/'Imputed Data'!U28</f>
        <v>5.4971705739692782E-2</v>
      </c>
      <c r="V40" s="7">
        <f>('Imputed Data'!V40-'Imputed Data'!V28)/'Imputed Data'!V28</f>
        <v>5.3119730185497566E-2</v>
      </c>
      <c r="W40" s="7">
        <f>('Imputed Data'!W40-'Imputed Data'!W28)/'Imputed Data'!W28</f>
        <v>3.4657650042265502E-2</v>
      </c>
      <c r="X40" s="7">
        <f>('Imputed Data'!X40-'Imputed Data'!X28)/'Imputed Data'!X28</f>
        <v>4.9496644295301942E-2</v>
      </c>
      <c r="Y40" s="7">
        <f>('Imputed Data'!Y40-'Imputed Data'!Y28)/'Imputed Data'!Y28</f>
        <v>5.3127677806341068E-2</v>
      </c>
      <c r="Z40" s="7">
        <f>('Imputed Data'!Z40-'Imputed Data'!Z28)/'Imputed Data'!Z28</f>
        <v>9.0991810737033659E-3</v>
      </c>
      <c r="AA40" s="7">
        <f>('Imputed Data'!AA40-'Imputed Data'!AA28)/'Imputed Data'!AA28</f>
        <v>4.506065857885605E-2</v>
      </c>
      <c r="AB40" s="7">
        <f>('Imputed Data'!AB40-'Imputed Data'!AB28)/'Imputed Data'!AB28</f>
        <v>5.6619483763530487E-2</v>
      </c>
      <c r="AC40" s="7">
        <f>('Imputed Data'!AC40-'Imputed Data'!AC28)/'Imputed Data'!AC28</f>
        <v>5.6756756756756732E-2</v>
      </c>
      <c r="AD40" s="7">
        <f>('Imputed Data'!AD40-'Imputed Data'!AD28)/'Imputed Data'!AD28</f>
        <v>4.0104620749781987E-2</v>
      </c>
      <c r="AE40" s="7">
        <f>('Imputed Data'!AE40-'Imputed Data'!AE28)/'Imputed Data'!AE28</f>
        <v>4.8252911813643905E-2</v>
      </c>
    </row>
    <row r="41" spans="1:31" x14ac:dyDescent="0.25">
      <c r="A41" s="1">
        <f>'Imputed Data'!A41</f>
        <v>42461</v>
      </c>
      <c r="B41" s="1" t="str">
        <f>'Imputed Data'!B41</f>
        <v>Rural+Urban</v>
      </c>
      <c r="C41" s="2">
        <f>'Imputed Data'!C41</f>
        <v>2016</v>
      </c>
      <c r="D41" s="1" t="str">
        <f>'Imputed Data'!D41</f>
        <v>April</v>
      </c>
      <c r="E41" s="7">
        <f>('Imputed Data'!E41-'Imputed Data'!E29)/'Imputed Data'!E29</f>
        <v>2.510121457489874E-2</v>
      </c>
      <c r="F41" s="7">
        <f>('Imputed Data'!F41-'Imputed Data'!F29)/'Imputed Data'!F29</f>
        <v>8.2278481012658264E-2</v>
      </c>
      <c r="G41" s="7">
        <f>('Imputed Data'!G41-'Imputed Data'!G29)/'Imputed Data'!G29</f>
        <v>6.6433566433566377E-2</v>
      </c>
      <c r="H41" s="7">
        <f>('Imputed Data'!H41-'Imputed Data'!H29)/'Imputed Data'!H29</f>
        <v>3.3965244865718891E-2</v>
      </c>
      <c r="I41" s="7">
        <f>('Imputed Data'!I41-'Imputed Data'!I29)/'Imputed Data'!I29</f>
        <v>5.1282051282051232E-2</v>
      </c>
      <c r="J41" s="7">
        <f>('Imputed Data'!J41-'Imputed Data'!J29)/'Imputed Data'!J29</f>
        <v>1.7358490566037822E-2</v>
      </c>
      <c r="K41" s="7">
        <f>('Imputed Data'!K41-'Imputed Data'!K29)/'Imputed Data'!K29</f>
        <v>4.9766718506998493E-2</v>
      </c>
      <c r="L41" s="7">
        <f>('Imputed Data'!L41-'Imputed Data'!L29)/'Imputed Data'!L29</f>
        <v>0.3421474358974359</v>
      </c>
      <c r="M41" s="7">
        <f>('Imputed Data'!M41-'Imputed Data'!M29)/'Imputed Data'!M29</f>
        <v>0.11180773249738769</v>
      </c>
      <c r="N41" s="7">
        <f>('Imputed Data'!N41-'Imputed Data'!N29)/'Imputed Data'!N29</f>
        <v>9.8039215686274508E-2</v>
      </c>
      <c r="O41" s="7">
        <f>('Imputed Data'!O41-'Imputed Data'!O29)/'Imputed Data'!O29</f>
        <v>4.3037974683544256E-2</v>
      </c>
      <c r="P41" s="7">
        <f>('Imputed Data'!P41-'Imputed Data'!P29)/'Imputed Data'!P29</f>
        <v>5.8869093725793915E-2</v>
      </c>
      <c r="Q41" s="7">
        <f>('Imputed Data'!Q41-'Imputed Data'!Q29)/'Imputed Data'!Q29</f>
        <v>6.2903225806451704E-2</v>
      </c>
      <c r="R41" s="7">
        <f>('Imputed Data'!R41-'Imputed Data'!R29)/'Imputed Data'!R29</f>
        <v>8.0378250591016456E-2</v>
      </c>
      <c r="S41" s="7">
        <f>('Imputed Data'!S41-'Imputed Data'!S29)/'Imputed Data'!S29</f>
        <v>5.693664795509229E-2</v>
      </c>
      <c r="T41" s="7">
        <f>('Imputed Data'!T41-'Imputed Data'!T29)/'Imputed Data'!T29</f>
        <v>4.6357615894039805E-2</v>
      </c>
      <c r="U41" s="7">
        <f>('Imputed Data'!U41-'Imputed Data'!U29)/'Imputed Data'!U29</f>
        <v>5.5600322320709154E-2</v>
      </c>
      <c r="V41" s="7">
        <f>('Imputed Data'!V41-'Imputed Data'!V29)/'Imputed Data'!V29</f>
        <v>5.3691275167785164E-2</v>
      </c>
      <c r="W41" s="7">
        <f>('Imputed Data'!W41-'Imputed Data'!W29)/'Imputed Data'!W29</f>
        <v>3.0328559393428763E-2</v>
      </c>
      <c r="X41" s="7">
        <f>('Imputed Data'!X41-'Imputed Data'!X29)/'Imputed Data'!X29</f>
        <v>4.8454469507101063E-2</v>
      </c>
      <c r="Y41" s="7">
        <f>('Imputed Data'!Y41-'Imputed Data'!Y29)/'Imputed Data'!Y29</f>
        <v>5.2092228864218694E-2</v>
      </c>
      <c r="Z41" s="7">
        <f>('Imputed Data'!Z41-'Imputed Data'!Z29)/'Imputed Data'!Z29</f>
        <v>1.8165304268846504E-2</v>
      </c>
      <c r="AA41" s="7">
        <f>('Imputed Data'!AA41-'Imputed Data'!AA29)/'Imputed Data'!AA29</f>
        <v>4.4866264020707404E-2</v>
      </c>
      <c r="AB41" s="7">
        <f>('Imputed Data'!AB41-'Imputed Data'!AB29)/'Imputed Data'!AB29</f>
        <v>5.5371900826446302E-2</v>
      </c>
      <c r="AC41" s="7">
        <f>('Imputed Data'!AC41-'Imputed Data'!AC29)/'Imputed Data'!AC29</f>
        <v>5.7296329453894283E-2</v>
      </c>
      <c r="AD41" s="7">
        <f>('Imputed Data'!AD41-'Imputed Data'!AD29)/'Imputed Data'!AD29</f>
        <v>4.2571676802780241E-2</v>
      </c>
      <c r="AE41" s="7">
        <f>('Imputed Data'!AE41-'Imputed Data'!AE29)/'Imputed Data'!AE29</f>
        <v>5.4681027340513624E-2</v>
      </c>
    </row>
    <row r="42" spans="1:31" x14ac:dyDescent="0.25">
      <c r="A42" s="1">
        <f>'Imputed Data'!A42</f>
        <v>42491</v>
      </c>
      <c r="B42" s="1" t="str">
        <f>'Imputed Data'!B42</f>
        <v>Rural+Urban</v>
      </c>
      <c r="C42" s="2">
        <f>'Imputed Data'!C42</f>
        <v>2016</v>
      </c>
      <c r="D42" s="1" t="str">
        <f>'Imputed Data'!D42</f>
        <v>May</v>
      </c>
      <c r="E42" s="7">
        <f>('Imputed Data'!E42-'Imputed Data'!E30)/'Imputed Data'!E30</f>
        <v>2.5889967637540479E-2</v>
      </c>
      <c r="F42" s="7">
        <f>('Imputed Data'!F42-'Imputed Data'!F30)/'Imputed Data'!F30</f>
        <v>8.6718749999999956E-2</v>
      </c>
      <c r="G42" s="7">
        <f>('Imputed Data'!G42-'Imputed Data'!G30)/'Imputed Data'!G30</f>
        <v>9.0434782608695696E-2</v>
      </c>
      <c r="H42" s="7">
        <f>('Imputed Data'!H42-'Imputed Data'!H30)/'Imputed Data'!H30</f>
        <v>3.4564021995286659E-2</v>
      </c>
      <c r="I42" s="7">
        <f>('Imputed Data'!I42-'Imputed Data'!I30)/'Imputed Data'!I30</f>
        <v>4.7358834244080175E-2</v>
      </c>
      <c r="J42" s="7">
        <f>('Imputed Data'!J42-'Imputed Data'!J30)/'Imputed Data'!J30</f>
        <v>2.5641025641025685E-2</v>
      </c>
      <c r="K42" s="7">
        <f>('Imputed Data'!K42-'Imputed Data'!K30)/'Imputed Data'!K30</f>
        <v>0.10847975553857897</v>
      </c>
      <c r="L42" s="7">
        <f>('Imputed Data'!L42-'Imputed Data'!L30)/'Imputed Data'!L30</f>
        <v>0.31570881226053632</v>
      </c>
      <c r="M42" s="7">
        <f>('Imputed Data'!M42-'Imputed Data'!M30)/'Imputed Data'!M30</f>
        <v>0.14060860440713543</v>
      </c>
      <c r="N42" s="7">
        <f>('Imputed Data'!N42-'Imputed Data'!N30)/'Imputed Data'!N30</f>
        <v>9.6434359805510572E-2</v>
      </c>
      <c r="O42" s="7">
        <f>('Imputed Data'!O42-'Imputed Data'!O30)/'Imputed Data'!O30</f>
        <v>4.1946308724832217E-2</v>
      </c>
      <c r="P42" s="7">
        <f>('Imputed Data'!P42-'Imputed Data'!P30)/'Imputed Data'!P30</f>
        <v>5.8551617873651721E-2</v>
      </c>
      <c r="Q42" s="7">
        <f>('Imputed Data'!Q42-'Imputed Data'!Q30)/'Imputed Data'!Q30</f>
        <v>7.1999999999999995E-2</v>
      </c>
      <c r="R42" s="7">
        <f>('Imputed Data'!R42-'Imputed Data'!R30)/'Imputed Data'!R30</f>
        <v>7.6622361219702756E-2</v>
      </c>
      <c r="S42" s="7">
        <f>('Imputed Data'!S42-'Imputed Data'!S30)/'Imputed Data'!S30</f>
        <v>5.422647527910672E-2</v>
      </c>
      <c r="T42" s="7">
        <f>('Imputed Data'!T42-'Imputed Data'!T30)/'Imputed Data'!T30</f>
        <v>4.5342126957955482E-2</v>
      </c>
      <c r="U42" s="7">
        <f>('Imputed Data'!U42-'Imputed Data'!U30)/'Imputed Data'!U30</f>
        <v>5.3728949478749018E-2</v>
      </c>
      <c r="V42" s="7">
        <f>('Imputed Data'!V42-'Imputed Data'!V30)/'Imputed Data'!V30</f>
        <v>5.3511705685618777E-2</v>
      </c>
      <c r="W42" s="7">
        <f>('Imputed Data'!W42-'Imputed Data'!W30)/'Imputed Data'!W30</f>
        <v>2.936241610738255E-2</v>
      </c>
      <c r="X42" s="7">
        <f>('Imputed Data'!X42-'Imputed Data'!X30)/'Imputed Data'!X30</f>
        <v>4.8252911813643905E-2</v>
      </c>
      <c r="Y42" s="7">
        <f>('Imputed Data'!Y42-'Imputed Data'!Y30)/'Imputed Data'!Y30</f>
        <v>5.0977060322854713E-2</v>
      </c>
      <c r="Z42" s="7">
        <f>('Imputed Data'!Z42-'Imputed Data'!Z30)/'Imputed Data'!Z30</f>
        <v>7.1428571428571175E-3</v>
      </c>
      <c r="AA42" s="7">
        <f>('Imputed Data'!AA42-'Imputed Data'!AA30)/'Imputed Data'!AA30</f>
        <v>4.4711951848667268E-2</v>
      </c>
      <c r="AB42" s="7">
        <f>('Imputed Data'!AB42-'Imputed Data'!AB30)/'Imputed Data'!AB30</f>
        <v>5.8484349258649045E-2</v>
      </c>
      <c r="AC42" s="7">
        <f>('Imputed Data'!AC42-'Imputed Data'!AC30)/'Imputed Data'!AC30</f>
        <v>6.1442564559216435E-2</v>
      </c>
      <c r="AD42" s="7">
        <f>('Imputed Data'!AD42-'Imputed Data'!AD30)/'Imputed Data'!AD30</f>
        <v>3.9621016365202488E-2</v>
      </c>
      <c r="AE42" s="7">
        <f>('Imputed Data'!AE42-'Imputed Data'!AE30)/'Imputed Data'!AE30</f>
        <v>5.7565789473684216E-2</v>
      </c>
    </row>
    <row r="43" spans="1:31" x14ac:dyDescent="0.25">
      <c r="A43" s="1">
        <f>'Imputed Data'!A43</f>
        <v>42522</v>
      </c>
      <c r="B43" s="1" t="str">
        <f>'Imputed Data'!B43</f>
        <v>Rural+Urban</v>
      </c>
      <c r="C43" s="2">
        <f>'Imputed Data'!C43</f>
        <v>2016</v>
      </c>
      <c r="D43" s="1" t="str">
        <f>'Imputed Data'!D43</f>
        <v>June</v>
      </c>
      <c r="E43" s="7">
        <f>('Imputed Data'!E43-'Imputed Data'!E31)/'Imputed Data'!E31</f>
        <v>3.0669895076674714E-2</v>
      </c>
      <c r="F43" s="7">
        <f>('Imputed Data'!F43-'Imputed Data'!F31)/'Imputed Data'!F31</f>
        <v>6.600910470409703E-2</v>
      </c>
      <c r="G43" s="7">
        <f>('Imputed Data'!G43-'Imputed Data'!G31)/'Imputed Data'!G31</f>
        <v>5.5098684210526459E-2</v>
      </c>
      <c r="H43" s="7">
        <f>('Imputed Data'!H43-'Imputed Data'!H31)/'Imputed Data'!H31</f>
        <v>3.4321372854914246E-2</v>
      </c>
      <c r="I43" s="7">
        <f>('Imputed Data'!I43-'Imputed Data'!I31)/'Imputed Data'!I31</f>
        <v>3.960396039603966E-2</v>
      </c>
      <c r="J43" s="7">
        <f>('Imputed Data'!J43-'Imputed Data'!J31)/'Imputed Data'!J31</f>
        <v>2.7861445783132443E-2</v>
      </c>
      <c r="K43" s="7">
        <f>('Imputed Data'!K43-'Imputed Data'!K31)/'Imputed Data'!K31</f>
        <v>0.14809489575844711</v>
      </c>
      <c r="L43" s="7">
        <f>('Imputed Data'!L43-'Imputed Data'!L31)/'Imputed Data'!L31</f>
        <v>0.26855895196506552</v>
      </c>
      <c r="M43" s="7">
        <f>('Imputed Data'!M43-'Imputed Data'!M31)/'Imputed Data'!M31</f>
        <v>0.16790648246546241</v>
      </c>
      <c r="N43" s="7">
        <f>('Imputed Data'!N43-'Imputed Data'!N31)/'Imputed Data'!N31</f>
        <v>8.6055776892430366E-2</v>
      </c>
      <c r="O43" s="7">
        <f>('Imputed Data'!O43-'Imputed Data'!O31)/'Imputed Data'!O31</f>
        <v>3.8397328881469191E-2</v>
      </c>
      <c r="P43" s="7">
        <f>('Imputed Data'!P43-'Imputed Data'!P31)/'Imputed Data'!P31</f>
        <v>5.5003819709701973E-2</v>
      </c>
      <c r="Q43" s="7">
        <f>('Imputed Data'!Q43-'Imputed Data'!Q31)/'Imputed Data'!Q31</f>
        <v>7.4626865671641909E-2</v>
      </c>
      <c r="R43" s="7">
        <f>('Imputed Data'!R43-'Imputed Data'!R31)/'Imputed Data'!R31</f>
        <v>7.3529411764705885E-2</v>
      </c>
      <c r="S43" s="7">
        <f>('Imputed Data'!S43-'Imputed Data'!S31)/'Imputed Data'!S31</f>
        <v>5.1424050632911389E-2</v>
      </c>
      <c r="T43" s="7">
        <f>('Imputed Data'!T43-'Imputed Data'!T31)/'Imputed Data'!T31</f>
        <v>4.2622950819672156E-2</v>
      </c>
      <c r="U43" s="7">
        <f>('Imputed Data'!U43-'Imputed Data'!U31)/'Imputed Data'!U31</f>
        <v>5.0119331742243416E-2</v>
      </c>
      <c r="V43" s="7">
        <f>('Imputed Data'!V43-'Imputed Data'!V31)/'Imputed Data'!V31</f>
        <v>5.4621848739495799E-2</v>
      </c>
      <c r="W43" s="7">
        <f>('Imputed Data'!W43-'Imputed Data'!W31)/'Imputed Data'!W31</f>
        <v>2.9215358931552589E-2</v>
      </c>
      <c r="X43" s="7">
        <f>('Imputed Data'!X43-'Imputed Data'!X31)/'Imputed Data'!X31</f>
        <v>4.3765483071841547E-2</v>
      </c>
      <c r="Y43" s="7">
        <f>('Imputed Data'!Y43-'Imputed Data'!Y31)/'Imputed Data'!Y31</f>
        <v>4.7257383966244675E-2</v>
      </c>
      <c r="Z43" s="7">
        <f>('Imputed Data'!Z43-'Imputed Data'!Z31)/'Imputed Data'!Z31</f>
        <v>1.151461470327721E-2</v>
      </c>
      <c r="AA43" s="7">
        <f>('Imputed Data'!AA43-'Imputed Data'!AA31)/'Imputed Data'!AA31</f>
        <v>4.1060735671514088E-2</v>
      </c>
      <c r="AB43" s="7">
        <f>('Imputed Data'!AB43-'Imputed Data'!AB31)/'Imputed Data'!AB31</f>
        <v>5.3614947197400446E-2</v>
      </c>
      <c r="AC43" s="7">
        <f>('Imputed Data'!AC43-'Imputed Data'!AC31)/'Imputed Data'!AC31</f>
        <v>5.8510638297872418E-2</v>
      </c>
      <c r="AD43" s="7">
        <f>('Imputed Data'!AD43-'Imputed Data'!AD31)/'Imputed Data'!AD31</f>
        <v>3.8461538461538464E-2</v>
      </c>
      <c r="AE43" s="7">
        <f>('Imputed Data'!AE43-'Imputed Data'!AE31)/'Imputed Data'!AE31</f>
        <v>5.772357723577231E-2</v>
      </c>
    </row>
    <row r="44" spans="1:31" x14ac:dyDescent="0.25">
      <c r="A44" s="1">
        <f>'Imputed Data'!A44</f>
        <v>42552</v>
      </c>
      <c r="B44" s="1" t="str">
        <f>'Imputed Data'!B44</f>
        <v>Rural+Urban</v>
      </c>
      <c r="C44" s="2">
        <f>'Imputed Data'!C44</f>
        <v>2016</v>
      </c>
      <c r="D44" s="1" t="str">
        <f>'Imputed Data'!D44</f>
        <v>July</v>
      </c>
      <c r="E44" s="7">
        <f>('Imputed Data'!E44-'Imputed Data'!E32)/'Imputed Data'!E32</f>
        <v>3.8803556992724308E-2</v>
      </c>
      <c r="F44" s="7">
        <f>('Imputed Data'!F44-'Imputed Data'!F32)/'Imputed Data'!F32</f>
        <v>6.5660377358490479E-2</v>
      </c>
      <c r="G44" s="7">
        <f>('Imputed Data'!G44-'Imputed Data'!G32)/'Imputed Data'!G32</f>
        <v>9.338842975206621E-2</v>
      </c>
      <c r="H44" s="7">
        <f>('Imputed Data'!H44-'Imputed Data'!H32)/'Imputed Data'!H32</f>
        <v>4.0530007794232173E-2</v>
      </c>
      <c r="I44" s="7">
        <f>('Imputed Data'!I44-'Imputed Data'!I32)/'Imputed Data'!I32</f>
        <v>4.9594229035166817E-2</v>
      </c>
      <c r="J44" s="7">
        <f>('Imputed Data'!J44-'Imputed Data'!J32)/'Imputed Data'!J32</f>
        <v>3.5311795642374286E-2</v>
      </c>
      <c r="K44" s="7">
        <f>('Imputed Data'!K44-'Imputed Data'!K32)/'Imputed Data'!K32</f>
        <v>0.13990351481736743</v>
      </c>
      <c r="L44" s="7">
        <f>('Imputed Data'!L44-'Imputed Data'!L32)/'Imputed Data'!L32</f>
        <v>0.27534148094895766</v>
      </c>
      <c r="M44" s="7">
        <f>('Imputed Data'!M44-'Imputed Data'!M32)/'Imputed Data'!M32</f>
        <v>0.2190580503833516</v>
      </c>
      <c r="N44" s="7">
        <f>('Imputed Data'!N44-'Imputed Data'!N32)/'Imputed Data'!N32</f>
        <v>9.0404440919904891E-2</v>
      </c>
      <c r="O44" s="7">
        <f>('Imputed Data'!O44-'Imputed Data'!O32)/'Imputed Data'!O32</f>
        <v>4.2535446205170926E-2</v>
      </c>
      <c r="P44" s="7">
        <f>('Imputed Data'!P44-'Imputed Data'!P32)/'Imputed Data'!P32</f>
        <v>5.6316590563165944E-2</v>
      </c>
      <c r="Q44" s="7">
        <f>('Imputed Data'!Q44-'Imputed Data'!Q32)/'Imputed Data'!Q32</f>
        <v>7.9563182527301227E-2</v>
      </c>
      <c r="R44" s="7">
        <f>('Imputed Data'!R44-'Imputed Data'!R32)/'Imputed Data'!R32</f>
        <v>6.8251533742331325E-2</v>
      </c>
      <c r="S44" s="7">
        <f>('Imputed Data'!S44-'Imputed Data'!S32)/'Imputed Data'!S32</f>
        <v>5.3670086819258063E-2</v>
      </c>
      <c r="T44" s="7">
        <f>('Imputed Data'!T44-'Imputed Data'!T32)/'Imputed Data'!T32</f>
        <v>4.3336058871627121E-2</v>
      </c>
      <c r="U44" s="7">
        <f>('Imputed Data'!U44-'Imputed Data'!U32)/'Imputed Data'!U32</f>
        <v>5.2339413164155392E-2</v>
      </c>
      <c r="V44" s="7">
        <f>('Imputed Data'!V44-'Imputed Data'!V32)/'Imputed Data'!V32</f>
        <v>5.4211843202668891E-2</v>
      </c>
      <c r="W44" s="7">
        <f>('Imputed Data'!W44-'Imputed Data'!W32)/'Imputed Data'!W32</f>
        <v>2.747710241465455E-2</v>
      </c>
      <c r="X44" s="7">
        <f>('Imputed Data'!X44-'Imputed Data'!X32)/'Imputed Data'!X32</f>
        <v>4.6166529266282015E-2</v>
      </c>
      <c r="Y44" s="7">
        <f>('Imputed Data'!Y44-'Imputed Data'!Y32)/'Imputed Data'!Y32</f>
        <v>4.6218487394957986E-2</v>
      </c>
      <c r="Z44" s="7">
        <f>('Imputed Data'!Z44-'Imputed Data'!Z32)/'Imputed Data'!Z32</f>
        <v>1.0647737355811916E-2</v>
      </c>
      <c r="AA44" s="7">
        <f>('Imputed Data'!AA44-'Imputed Data'!AA32)/'Imputed Data'!AA32</f>
        <v>4.4368600682593878E-2</v>
      </c>
      <c r="AB44" s="7">
        <f>('Imputed Data'!AB44-'Imputed Data'!AB32)/'Imputed Data'!AB32</f>
        <v>5.144694533762062E-2</v>
      </c>
      <c r="AC44" s="7">
        <f>('Imputed Data'!AC44-'Imputed Data'!AC32)/'Imputed Data'!AC32</f>
        <v>7.3018699910952833E-2</v>
      </c>
      <c r="AD44" s="7">
        <f>('Imputed Data'!AD44-'Imputed Data'!AD32)/'Imputed Data'!AD32</f>
        <v>4.0102389078498314E-2</v>
      </c>
      <c r="AE44" s="7">
        <f>('Imputed Data'!AE44-'Imputed Data'!AE32)/'Imputed Data'!AE32</f>
        <v>6.0679611650485438E-2</v>
      </c>
    </row>
    <row r="45" spans="1:31" x14ac:dyDescent="0.25">
      <c r="A45" s="1">
        <f>'Imputed Data'!A45</f>
        <v>42583</v>
      </c>
      <c r="B45" s="1" t="str">
        <f>'Imputed Data'!B45</f>
        <v>Rural+Urban</v>
      </c>
      <c r="C45" s="2">
        <f>'Imputed Data'!C45</f>
        <v>2016</v>
      </c>
      <c r="D45" s="1" t="str">
        <f>'Imputed Data'!D45</f>
        <v>August</v>
      </c>
      <c r="E45" s="7">
        <f>('Imputed Data'!E45-'Imputed Data'!E33)/'Imputed Data'!E33</f>
        <v>4.1062801932367214E-2</v>
      </c>
      <c r="F45" s="7">
        <f>('Imputed Data'!F45-'Imputed Data'!F33)/'Imputed Data'!F33</f>
        <v>6.0121765601217694E-2</v>
      </c>
      <c r="G45" s="7">
        <f>('Imputed Data'!G45-'Imputed Data'!G33)/'Imputed Data'!G33</f>
        <v>9.5753538717735232E-2</v>
      </c>
      <c r="H45" s="7">
        <f>('Imputed Data'!H45-'Imputed Data'!H33)/'Imputed Data'!H33</f>
        <v>4.3579766536964937E-2</v>
      </c>
      <c r="I45" s="7">
        <f>('Imputed Data'!I45-'Imputed Data'!I33)/'Imputed Data'!I33</f>
        <v>4.9371633752244161E-2</v>
      </c>
      <c r="J45" s="7">
        <f>('Imputed Data'!J45-'Imputed Data'!J33)/'Imputed Data'!J33</f>
        <v>4.3839758125472278E-2</v>
      </c>
      <c r="K45" s="7">
        <f>('Imputed Data'!K45-'Imputed Data'!K33)/'Imputed Data'!K33</f>
        <v>9.5177664974619297E-3</v>
      </c>
      <c r="L45" s="7">
        <f>('Imputed Data'!L45-'Imputed Data'!L33)/'Imputed Data'!L33</f>
        <v>0.21944444444444441</v>
      </c>
      <c r="M45" s="7">
        <f>('Imputed Data'!M45-'Imputed Data'!M33)/'Imputed Data'!M33</f>
        <v>0.2475138121546962</v>
      </c>
      <c r="N45" s="7">
        <f>('Imputed Data'!N45-'Imputed Data'!N33)/'Imputed Data'!N33</f>
        <v>8.9116719242902181E-2</v>
      </c>
      <c r="O45" s="7">
        <f>('Imputed Data'!O45-'Imputed Data'!O33)/'Imputed Data'!O33</f>
        <v>4.2358803986710915E-2</v>
      </c>
      <c r="P45" s="7">
        <f>('Imputed Data'!P45-'Imputed Data'!P33)/'Imputed Data'!P33</f>
        <v>5.6018168054504207E-2</v>
      </c>
      <c r="Q45" s="7">
        <f>('Imputed Data'!Q45-'Imputed Data'!Q33)/'Imputed Data'!Q33</f>
        <v>5.8326937835763572E-2</v>
      </c>
      <c r="R45" s="7">
        <f>('Imputed Data'!R45-'Imputed Data'!R33)/'Imputed Data'!R33</f>
        <v>6.8597560975609762E-2</v>
      </c>
      <c r="S45" s="7">
        <f>('Imputed Data'!S45-'Imputed Data'!S33)/'Imputed Data'!S33</f>
        <v>5.4245283018867857E-2</v>
      </c>
      <c r="T45" s="7">
        <f>('Imputed Data'!T45-'Imputed Data'!T33)/'Imputed Data'!T33</f>
        <v>4.3124491456468531E-2</v>
      </c>
      <c r="U45" s="7">
        <f>('Imputed Data'!U45-'Imputed Data'!U33)/'Imputed Data'!U33</f>
        <v>5.2132701421800903E-2</v>
      </c>
      <c r="V45" s="7">
        <f>('Imputed Data'!V45-'Imputed Data'!V33)/'Imputed Data'!V33</f>
        <v>5.2936311000827053E-2</v>
      </c>
      <c r="W45" s="7">
        <f>('Imputed Data'!W45-'Imputed Data'!W33)/'Imputed Data'!W33</f>
        <v>2.4875621890547265E-2</v>
      </c>
      <c r="X45" s="7">
        <f>('Imputed Data'!X45-'Imputed Data'!X33)/'Imputed Data'!X33</f>
        <v>4.4262295081967259E-2</v>
      </c>
      <c r="Y45" s="7">
        <f>('Imputed Data'!Y45-'Imputed Data'!Y33)/'Imputed Data'!Y33</f>
        <v>4.5226130653266257E-2</v>
      </c>
      <c r="Z45" s="7">
        <f>('Imputed Data'!Z45-'Imputed Data'!Z33)/'Imputed Data'!Z33</f>
        <v>1.2533572068039315E-2</v>
      </c>
      <c r="AA45" s="7">
        <f>('Imputed Data'!AA45-'Imputed Data'!AA33)/'Imputed Data'!AA33</f>
        <v>4.1595925297113805E-2</v>
      </c>
      <c r="AB45" s="7">
        <f>('Imputed Data'!AB45-'Imputed Data'!AB33)/'Imputed Data'!AB33</f>
        <v>5.2757793764987966E-2</v>
      </c>
      <c r="AC45" s="7">
        <f>('Imputed Data'!AC45-'Imputed Data'!AC33)/'Imputed Data'!AC33</f>
        <v>8.1923419412288534E-2</v>
      </c>
      <c r="AD45" s="7">
        <f>('Imputed Data'!AD45-'Imputed Data'!AD33)/'Imputed Data'!AD33</f>
        <v>4.1808873720136447E-2</v>
      </c>
      <c r="AE45" s="7">
        <f>('Imputed Data'!AE45-'Imputed Data'!AE33)/'Imputed Data'!AE33</f>
        <v>5.0480769230769211E-2</v>
      </c>
    </row>
    <row r="46" spans="1:31" x14ac:dyDescent="0.25">
      <c r="A46" s="1">
        <f>'Imputed Data'!A46</f>
        <v>42614</v>
      </c>
      <c r="B46" s="1" t="str">
        <f>'Imputed Data'!B46</f>
        <v>Rural+Urban</v>
      </c>
      <c r="C46" s="2">
        <f>'Imputed Data'!C46</f>
        <v>2016</v>
      </c>
      <c r="D46" s="1" t="str">
        <f>'Imputed Data'!D46</f>
        <v>September</v>
      </c>
      <c r="E46" s="7">
        <f>('Imputed Data'!E46-'Imputed Data'!E34)/'Imputed Data'!E34</f>
        <v>4.2536115569823528E-2</v>
      </c>
      <c r="F46" s="7">
        <f>('Imputed Data'!F46-'Imputed Data'!F34)/'Imputed Data'!F34</f>
        <v>5.828220858895701E-2</v>
      </c>
      <c r="G46" s="7">
        <f>('Imputed Data'!G46-'Imputed Data'!G34)/'Imputed Data'!G34</f>
        <v>9.9410278011794417E-2</v>
      </c>
      <c r="H46" s="7">
        <f>('Imputed Data'!H46-'Imputed Data'!H34)/'Imputed Data'!H34</f>
        <v>4.2668735453840187E-2</v>
      </c>
      <c r="I46" s="7">
        <f>('Imputed Data'!I46-'Imputed Data'!I34)/'Imputed Data'!I34</f>
        <v>4.7363717605004442E-2</v>
      </c>
      <c r="J46" s="7">
        <f>('Imputed Data'!J46-'Imputed Data'!J34)/'Imputed Data'!J34</f>
        <v>5.9968847352024832E-2</v>
      </c>
      <c r="K46" s="7">
        <f>('Imputed Data'!K46-'Imputed Data'!K34)/'Imputed Data'!K34</f>
        <v>-7.0900123304562274E-2</v>
      </c>
      <c r="L46" s="7">
        <f>('Imputed Data'!L46-'Imputed Data'!L34)/'Imputed Data'!L34</f>
        <v>0.14333333333333334</v>
      </c>
      <c r="M46" s="7">
        <f>('Imputed Data'!M46-'Imputed Data'!M34)/'Imputed Data'!M34</f>
        <v>0.2588495575221238</v>
      </c>
      <c r="N46" s="7">
        <f>('Imputed Data'!N46-'Imputed Data'!N34)/'Imputed Data'!N34</f>
        <v>8.0996884735202529E-2</v>
      </c>
      <c r="O46" s="7">
        <f>('Imputed Data'!O46-'Imputed Data'!O34)/'Imputed Data'!O34</f>
        <v>4.3910521955260955E-2</v>
      </c>
      <c r="P46" s="7">
        <f>('Imputed Data'!P46-'Imputed Data'!P34)/'Imputed Data'!P34</f>
        <v>5.8113207547169726E-2</v>
      </c>
      <c r="Q46" s="7">
        <f>('Imputed Data'!Q46-'Imputed Data'!Q34)/'Imputed Data'!Q34</f>
        <v>4.1158536585365897E-2</v>
      </c>
      <c r="R46" s="7">
        <f>('Imputed Data'!R46-'Imputed Data'!R34)/'Imputed Data'!R34</f>
        <v>6.8181818181818177E-2</v>
      </c>
      <c r="S46" s="7">
        <f>('Imputed Data'!S46-'Imputed Data'!S34)/'Imputed Data'!S34</f>
        <v>5.2384675527755969E-2</v>
      </c>
      <c r="T46" s="7">
        <f>('Imputed Data'!T46-'Imputed Data'!T34)/'Imputed Data'!T34</f>
        <v>4.2139384116693587E-2</v>
      </c>
      <c r="U46" s="7">
        <f>('Imputed Data'!U46-'Imputed Data'!U34)/'Imputed Data'!U34</f>
        <v>5.1886792452830253E-2</v>
      </c>
      <c r="V46" s="7">
        <f>('Imputed Data'!V46-'Imputed Data'!V34)/'Imputed Data'!V34</f>
        <v>5.1809210526315888E-2</v>
      </c>
      <c r="W46" s="7">
        <f>('Imputed Data'!W46-'Imputed Data'!W34)/'Imputed Data'!W34</f>
        <v>3.073089700996668E-2</v>
      </c>
      <c r="X46" s="7">
        <f>('Imputed Data'!X46-'Imputed Data'!X34)/'Imputed Data'!X34</f>
        <v>4.3230016313213798E-2</v>
      </c>
      <c r="Y46" s="7">
        <f>('Imputed Data'!Y46-'Imputed Data'!Y34)/'Imputed Data'!Y34</f>
        <v>4.674457429048421E-2</v>
      </c>
      <c r="Z46" s="7">
        <f>('Imputed Data'!Z46-'Imputed Data'!Z34)/'Imputed Data'!Z34</f>
        <v>2.6954177897574125E-2</v>
      </c>
      <c r="AA46" s="7">
        <f>('Imputed Data'!AA46-'Imputed Data'!AA34)/'Imputed Data'!AA34</f>
        <v>3.8884192730346649E-2</v>
      </c>
      <c r="AB46" s="7">
        <f>('Imputed Data'!AB46-'Imputed Data'!AB34)/'Imputed Data'!AB34</f>
        <v>4.8528241845664344E-2</v>
      </c>
      <c r="AC46" s="7">
        <f>('Imputed Data'!AC46-'Imputed Data'!AC34)/'Imputed Data'!AC34</f>
        <v>7.6719576719576618E-2</v>
      </c>
      <c r="AD46" s="7">
        <f>('Imputed Data'!AD46-'Imputed Data'!AD34)/'Imputed Data'!AD34</f>
        <v>4.5106382978723381E-2</v>
      </c>
      <c r="AE46" s="7">
        <f>('Imputed Data'!AE46-'Imputed Data'!AE34)/'Imputed Data'!AE34</f>
        <v>4.3859649122807015E-2</v>
      </c>
    </row>
    <row r="47" spans="1:31" x14ac:dyDescent="0.25">
      <c r="A47" s="1">
        <f>'Imputed Data'!A47</f>
        <v>42644</v>
      </c>
      <c r="B47" s="1" t="str">
        <f>'Imputed Data'!B47</f>
        <v>Rural+Urban</v>
      </c>
      <c r="C47" s="2">
        <f>'Imputed Data'!C47</f>
        <v>2016</v>
      </c>
      <c r="D47" s="1" t="str">
        <f>'Imputed Data'!D47</f>
        <v>October</v>
      </c>
      <c r="E47" s="7">
        <f>('Imputed Data'!E47-'Imputed Data'!E35)/'Imputed Data'!E35</f>
        <v>4.3999999999999997E-2</v>
      </c>
      <c r="F47" s="7">
        <f>('Imputed Data'!F47-'Imputed Data'!F35)/'Imputed Data'!F35</f>
        <v>6.2403697996918285E-2</v>
      </c>
      <c r="G47" s="7">
        <f>('Imputed Data'!G47-'Imputed Data'!G35)/'Imputed Data'!G35</f>
        <v>9.5037846930193293E-2</v>
      </c>
      <c r="H47" s="7">
        <f>('Imputed Data'!H47-'Imputed Data'!H35)/'Imputed Data'!H35</f>
        <v>4.4151820294345605E-2</v>
      </c>
      <c r="I47" s="7">
        <f>('Imputed Data'!I47-'Imputed Data'!I35)/'Imputed Data'!I35</f>
        <v>3.971756398940865E-2</v>
      </c>
      <c r="J47" s="7">
        <f>('Imputed Data'!J47-'Imputed Data'!J35)/'Imputed Data'!J35</f>
        <v>4.4186046511627816E-2</v>
      </c>
      <c r="K47" s="7">
        <f>('Imputed Data'!K47-'Imputed Data'!K35)/'Imputed Data'!K35</f>
        <v>-5.7356608478803098E-2</v>
      </c>
      <c r="L47" s="7">
        <f>('Imputed Data'!L47-'Imputed Data'!L35)/'Imputed Data'!L35</f>
        <v>4.1137326073805096E-2</v>
      </c>
      <c r="M47" s="7">
        <f>('Imputed Data'!M47-'Imputed Data'!M35)/'Imputed Data'!M35</f>
        <v>0.23618634886240517</v>
      </c>
      <c r="N47" s="7">
        <f>('Imputed Data'!N47-'Imputed Data'!N35)/'Imputed Data'!N35</f>
        <v>7.4016962220509047E-2</v>
      </c>
      <c r="O47" s="7">
        <f>('Imputed Data'!O47-'Imputed Data'!O35)/'Imputed Data'!O35</f>
        <v>4.1288191577208921E-2</v>
      </c>
      <c r="P47" s="7">
        <f>('Imputed Data'!P47-'Imputed Data'!P35)/'Imputed Data'!P35</f>
        <v>6.0902255639097701E-2</v>
      </c>
      <c r="Q47" s="7">
        <f>('Imputed Data'!Q47-'Imputed Data'!Q35)/'Imputed Data'!Q35</f>
        <v>3.709311127933388E-2</v>
      </c>
      <c r="R47" s="7">
        <f>('Imputed Data'!R47-'Imputed Data'!R35)/'Imputed Data'!R35</f>
        <v>7.0188679245283103E-2</v>
      </c>
      <c r="S47" s="7">
        <f>('Imputed Data'!S47-'Imputed Data'!S35)/'Imputed Data'!S35</f>
        <v>5.4474708171206226E-2</v>
      </c>
      <c r="T47" s="7">
        <f>('Imputed Data'!T47-'Imputed Data'!T35)/'Imputed Data'!T35</f>
        <v>4.281098546042001E-2</v>
      </c>
      <c r="U47" s="7">
        <f>('Imputed Data'!U47-'Imputed Data'!U35)/'Imputed Data'!U35</f>
        <v>5.2425665101721461E-2</v>
      </c>
      <c r="V47" s="7">
        <f>('Imputed Data'!V47-'Imputed Data'!V35)/'Imputed Data'!V35</f>
        <v>5.1470588235293976E-2</v>
      </c>
      <c r="W47" s="7">
        <f>('Imputed Data'!W47-'Imputed Data'!W35)/'Imputed Data'!W35</f>
        <v>2.8973509933774837E-2</v>
      </c>
      <c r="X47" s="7">
        <f>('Imputed Data'!X47-'Imputed Data'!X35)/'Imputed Data'!X35</f>
        <v>4.390243902439029E-2</v>
      </c>
      <c r="Y47" s="7">
        <f>('Imputed Data'!Y47-'Imputed Data'!Y35)/'Imputed Data'!Y35</f>
        <v>4.7342192691029801E-2</v>
      </c>
      <c r="Z47" s="7">
        <f>('Imputed Data'!Z47-'Imputed Data'!Z35)/'Imputed Data'!Z35</f>
        <v>3.411131059245958E-2</v>
      </c>
      <c r="AA47" s="7">
        <f>('Imputed Data'!AA47-'Imputed Data'!AA35)/'Imputed Data'!AA35</f>
        <v>4.0438079191238388E-2</v>
      </c>
      <c r="AB47" s="7">
        <f>('Imputed Data'!AB47-'Imputed Data'!AB35)/'Imputed Data'!AB35</f>
        <v>5.1628276409849086E-2</v>
      </c>
      <c r="AC47" s="7">
        <f>('Imputed Data'!AC47-'Imputed Data'!AC35)/'Imputed Data'!AC35</f>
        <v>7.19929762949955E-2</v>
      </c>
      <c r="AD47" s="7">
        <f>('Imputed Data'!AD47-'Imputed Data'!AD35)/'Imputed Data'!AD35</f>
        <v>4.6649703138252757E-2</v>
      </c>
      <c r="AE47" s="7">
        <f>('Imputed Data'!AE47-'Imputed Data'!AE35)/'Imputed Data'!AE35</f>
        <v>4.2030134813640062E-2</v>
      </c>
    </row>
    <row r="48" spans="1:31" x14ac:dyDescent="0.25">
      <c r="A48" s="1">
        <f>'Imputed Data'!A48</f>
        <v>42675</v>
      </c>
      <c r="B48" s="1" t="str">
        <f>'Imputed Data'!B48</f>
        <v>Rural+Urban</v>
      </c>
      <c r="C48" s="2">
        <f>'Imputed Data'!C48</f>
        <v>2016</v>
      </c>
      <c r="D48" s="1" t="str">
        <f>'Imputed Data'!D48</f>
        <v>November</v>
      </c>
      <c r="E48" s="7">
        <f>('Imputed Data'!E48-'Imputed Data'!E36)/'Imputed Data'!E36</f>
        <v>4.784688995215311E-2</v>
      </c>
      <c r="F48" s="7">
        <f>('Imputed Data'!F48-'Imputed Data'!F36)/'Imputed Data'!F36</f>
        <v>5.7559478127398304E-2</v>
      </c>
      <c r="G48" s="7">
        <f>('Imputed Data'!G48-'Imputed Data'!G36)/'Imputed Data'!G36</f>
        <v>8.5526315789473728E-2</v>
      </c>
      <c r="H48" s="7">
        <f>('Imputed Data'!H48-'Imputed Data'!H36)/'Imputed Data'!H36</f>
        <v>4.489164086687316E-2</v>
      </c>
      <c r="I48" s="7">
        <f>('Imputed Data'!I48-'Imputed Data'!I36)/'Imputed Data'!I36</f>
        <v>2.6979982593559566E-2</v>
      </c>
      <c r="J48" s="7">
        <f>('Imputed Data'!J48-'Imputed Data'!J36)/'Imputed Data'!J36</f>
        <v>4.6021840873634992E-2</v>
      </c>
      <c r="K48" s="7">
        <f>('Imputed Data'!K48-'Imputed Data'!K36)/'Imputed Data'!K36</f>
        <v>-0.10416666666666666</v>
      </c>
      <c r="L48" s="7">
        <f>('Imputed Data'!L48-'Imputed Data'!L36)/'Imputed Data'!L36</f>
        <v>2.9205607476635517E-3</v>
      </c>
      <c r="M48" s="7">
        <f>('Imputed Data'!M48-'Imputed Data'!M36)/'Imputed Data'!M36</f>
        <v>0.22293676312968916</v>
      </c>
      <c r="N48" s="7">
        <f>('Imputed Data'!N48-'Imputed Data'!N36)/'Imputed Data'!N36</f>
        <v>6.4786585365853661E-2</v>
      </c>
      <c r="O48" s="7">
        <f>('Imputed Data'!O48-'Imputed Data'!O36)/'Imputed Data'!O36</f>
        <v>3.697617091207888E-2</v>
      </c>
      <c r="P48" s="7">
        <f>('Imputed Data'!P48-'Imputed Data'!P36)/'Imputed Data'!P36</f>
        <v>5.8208955223880685E-2</v>
      </c>
      <c r="Q48" s="7">
        <f>('Imputed Data'!Q48-'Imputed Data'!Q36)/'Imputed Data'!Q36</f>
        <v>2.5621703089676005E-2</v>
      </c>
      <c r="R48" s="7">
        <f>('Imputed Data'!R48-'Imputed Data'!R36)/'Imputed Data'!R36</f>
        <v>6.287425149700604E-2</v>
      </c>
      <c r="S48" s="7">
        <f>('Imputed Data'!S48-'Imputed Data'!S36)/'Imputed Data'!S36</f>
        <v>5.0270688321732399E-2</v>
      </c>
      <c r="T48" s="7">
        <f>('Imputed Data'!T48-'Imputed Data'!T36)/'Imputed Data'!T36</f>
        <v>3.8554216867469973E-2</v>
      </c>
      <c r="U48" s="7">
        <f>('Imputed Data'!U48-'Imputed Data'!U36)/'Imputed Data'!U36</f>
        <v>4.9766718506998493E-2</v>
      </c>
      <c r="V48" s="7">
        <f>('Imputed Data'!V48-'Imputed Data'!V36)/'Imputed Data'!V36</f>
        <v>5.0447518307567031E-2</v>
      </c>
      <c r="W48" s="7">
        <f>('Imputed Data'!W48-'Imputed Data'!W36)/'Imputed Data'!W36</f>
        <v>2.7960526315789522E-2</v>
      </c>
      <c r="X48" s="7">
        <f>('Imputed Data'!X48-'Imputed Data'!X36)/'Imputed Data'!X36</f>
        <v>4.2139384116693587E-2</v>
      </c>
      <c r="Y48" s="7">
        <f>('Imputed Data'!Y48-'Imputed Data'!Y36)/'Imputed Data'!Y36</f>
        <v>4.5492142266335814E-2</v>
      </c>
      <c r="Z48" s="7">
        <f>('Imputed Data'!Z48-'Imputed Data'!Z36)/'Imputed Data'!Z36</f>
        <v>3.7668161434977601E-2</v>
      </c>
      <c r="AA48" s="7">
        <f>('Imputed Data'!AA48-'Imputed Data'!AA36)/'Imputed Data'!AA36</f>
        <v>4.0268456375838903E-2</v>
      </c>
      <c r="AB48" s="7">
        <f>('Imputed Data'!AB48-'Imputed Data'!AB36)/'Imputed Data'!AB36</f>
        <v>5.1464766429137089E-2</v>
      </c>
      <c r="AC48" s="7">
        <f>('Imputed Data'!AC48-'Imputed Data'!AC36)/'Imputed Data'!AC36</f>
        <v>7.7328646748681881E-2</v>
      </c>
      <c r="AD48" s="7">
        <f>('Imputed Data'!AD48-'Imputed Data'!AD36)/'Imputed Data'!AD36</f>
        <v>4.8264182895851E-2</v>
      </c>
      <c r="AE48" s="7">
        <f>('Imputed Data'!AE48-'Imputed Data'!AE36)/'Imputed Data'!AE36</f>
        <v>3.6334913112164254E-2</v>
      </c>
    </row>
    <row r="49" spans="1:31" x14ac:dyDescent="0.25">
      <c r="A49" s="1">
        <f>'Imputed Data'!A49</f>
        <v>42705</v>
      </c>
      <c r="B49" s="1" t="str">
        <f>'Imputed Data'!B49</f>
        <v>Rural+Urban</v>
      </c>
      <c r="C49" s="2">
        <f>'Imputed Data'!C49</f>
        <v>2016</v>
      </c>
      <c r="D49" s="1" t="str">
        <f>'Imputed Data'!D49</f>
        <v>December</v>
      </c>
      <c r="E49" s="7">
        <f>('Imputed Data'!E49-'Imputed Data'!E37)/'Imputed Data'!E37</f>
        <v>5.2505966587112242E-2</v>
      </c>
      <c r="F49" s="7">
        <f>('Imputed Data'!F49-'Imputed Data'!F37)/'Imputed Data'!F37</f>
        <v>4.7184170471841619E-2</v>
      </c>
      <c r="G49" s="7">
        <f>('Imputed Data'!G49-'Imputed Data'!G37)/'Imputed Data'!G37</f>
        <v>6.4903846153846229E-2</v>
      </c>
      <c r="H49" s="7">
        <f>('Imputed Data'!H49-'Imputed Data'!H37)/'Imputed Data'!H37</f>
        <v>4.4049459041730979E-2</v>
      </c>
      <c r="I49" s="7">
        <f>('Imputed Data'!I49-'Imputed Data'!I37)/'Imputed Data'!I37</f>
        <v>2.8620988725065025E-2</v>
      </c>
      <c r="J49" s="7">
        <f>('Imputed Data'!J49-'Imputed Data'!J37)/'Imputed Data'!J37</f>
        <v>4.8183254344391739E-2</v>
      </c>
      <c r="K49" s="7">
        <f>('Imputed Data'!K49-'Imputed Data'!K37)/'Imputed Data'!K37</f>
        <v>-0.14587593728698017</v>
      </c>
      <c r="L49" s="7">
        <f>('Imputed Data'!L49-'Imputed Data'!L37)/'Imputed Data'!L37</f>
        <v>-1.6326530612244965E-2</v>
      </c>
      <c r="M49" s="7">
        <f>('Imputed Data'!M49-'Imputed Data'!M37)/'Imputed Data'!M37</f>
        <v>0.21058201058201065</v>
      </c>
      <c r="N49" s="7">
        <f>('Imputed Data'!N49-'Imputed Data'!N37)/'Imputed Data'!N37</f>
        <v>6.1317183951551814E-2</v>
      </c>
      <c r="O49" s="7">
        <f>('Imputed Data'!O49-'Imputed Data'!O37)/'Imputed Data'!O37</f>
        <v>3.770491803278684E-2</v>
      </c>
      <c r="P49" s="7">
        <f>('Imputed Data'!P49-'Imputed Data'!P37)/'Imputed Data'!P37</f>
        <v>5.64216778025243E-2</v>
      </c>
      <c r="Q49" s="7">
        <f>('Imputed Data'!Q49-'Imputed Data'!Q37)/'Imputed Data'!Q37</f>
        <v>1.9786910197869059E-2</v>
      </c>
      <c r="R49" s="7">
        <f>('Imputed Data'!R49-'Imputed Data'!R37)/'Imputed Data'!R37</f>
        <v>6.3940520446096619E-2</v>
      </c>
      <c r="S49" s="7">
        <f>('Imputed Data'!S49-'Imputed Data'!S37)/'Imputed Data'!S37</f>
        <v>5.0886661526600027E-2</v>
      </c>
      <c r="T49" s="7">
        <f>('Imputed Data'!T49-'Imputed Data'!T37)/'Imputed Data'!T37</f>
        <v>4.0064102564102679E-2</v>
      </c>
      <c r="U49" s="7">
        <f>('Imputed Data'!U49-'Imputed Data'!U37)/'Imputed Data'!U37</f>
        <v>4.9612403100775235E-2</v>
      </c>
      <c r="V49" s="7">
        <f>('Imputed Data'!V49-'Imputed Data'!V37)/'Imputed Data'!V37</f>
        <v>4.983660130718949E-2</v>
      </c>
      <c r="W49" s="7">
        <f>('Imputed Data'!W49-'Imputed Data'!W37)/'Imputed Data'!W37</f>
        <v>3.770491803278684E-2</v>
      </c>
      <c r="X49" s="7">
        <f>('Imputed Data'!X49-'Imputed Data'!X37)/'Imputed Data'!X37</f>
        <v>4.5307443365695747E-2</v>
      </c>
      <c r="Y49" s="7">
        <f>('Imputed Data'!Y49-'Imputed Data'!Y37)/'Imputed Data'!Y37</f>
        <v>4.5304777594728167E-2</v>
      </c>
      <c r="Z49" s="7">
        <f>('Imputed Data'!Z49-'Imputed Data'!Z37)/'Imputed Data'!Z37</f>
        <v>4.0358744394618833E-2</v>
      </c>
      <c r="AA49" s="7">
        <f>('Imputed Data'!AA49-'Imputed Data'!AA37)/'Imputed Data'!AA37</f>
        <v>3.8461538461538533E-2</v>
      </c>
      <c r="AB49" s="7">
        <f>('Imputed Data'!AB49-'Imputed Data'!AB37)/'Imputed Data'!AB37</f>
        <v>5.4675118858953972E-2</v>
      </c>
      <c r="AC49" s="7">
        <f>('Imputed Data'!AC49-'Imputed Data'!AC37)/'Imputed Data'!AC37</f>
        <v>6.5083553210202205E-2</v>
      </c>
      <c r="AD49" s="7">
        <f>('Imputed Data'!AD49-'Imputed Data'!AD37)/'Imputed Data'!AD37</f>
        <v>4.7337278106508951E-2</v>
      </c>
      <c r="AE49" s="7">
        <f>('Imputed Data'!AE49-'Imputed Data'!AE37)/'Imputed Data'!AE37</f>
        <v>3.4099920697858936E-2</v>
      </c>
    </row>
    <row r="50" spans="1:31" x14ac:dyDescent="0.25">
      <c r="A50" s="1">
        <f>'Imputed Data'!A50</f>
        <v>42736</v>
      </c>
      <c r="B50" s="1" t="str">
        <f>'Imputed Data'!B50</f>
        <v>Rural+Urban</v>
      </c>
      <c r="C50" s="2">
        <f>'Imputed Data'!C50</f>
        <v>2017</v>
      </c>
      <c r="D50" s="1" t="str">
        <f>'Imputed Data'!D50</f>
        <v>January</v>
      </c>
      <c r="E50" s="7">
        <f>('Imputed Data'!E50-'Imputed Data'!E38)/'Imputed Data'!E38</f>
        <v>5.3132434575733682E-2</v>
      </c>
      <c r="F50" s="7">
        <f>('Imputed Data'!F50-'Imputed Data'!F38)/'Imputed Data'!F38</f>
        <v>3.0574198359433216E-2</v>
      </c>
      <c r="G50" s="7">
        <f>('Imputed Data'!G50-'Imputed Data'!G38)/'Imputed Data'!G38</f>
        <v>2.7993779160186583E-2</v>
      </c>
      <c r="H50" s="7">
        <f>('Imputed Data'!H50-'Imputed Data'!H38)/'Imputed Data'!H38</f>
        <v>4.2340261739799843E-2</v>
      </c>
      <c r="I50" s="7">
        <f>('Imputed Data'!I50-'Imputed Data'!I38)/'Imputed Data'!I38</f>
        <v>3.116883116883112E-2</v>
      </c>
      <c r="J50" s="7">
        <f>('Imputed Data'!J50-'Imputed Data'!J38)/'Imputed Data'!J38</f>
        <v>5.8074781225139198E-2</v>
      </c>
      <c r="K50" s="7">
        <f>('Imputed Data'!K50-'Imputed Data'!K38)/'Imputed Data'!K38</f>
        <v>-0.15618374558303882</v>
      </c>
      <c r="L50" s="7">
        <f>('Imputed Data'!L50-'Imputed Data'!L38)/'Imputed Data'!L38</f>
        <v>-6.5612185120093675E-2</v>
      </c>
      <c r="M50" s="7">
        <f>('Imputed Data'!M50-'Imputed Data'!M38)/'Imputed Data'!M38</f>
        <v>0.1868583162217658</v>
      </c>
      <c r="N50" s="7">
        <f>('Imputed Data'!N50-'Imputed Data'!N38)/'Imputed Data'!N38</f>
        <v>5.0413844996237682E-2</v>
      </c>
      <c r="O50" s="7">
        <f>('Imputed Data'!O50-'Imputed Data'!O38)/'Imputed Data'!O38</f>
        <v>3.1784841075794552E-2</v>
      </c>
      <c r="P50" s="7">
        <f>('Imputed Data'!P50-'Imputed Data'!P38)/'Imputed Data'!P38</f>
        <v>5.5432372505543233E-2</v>
      </c>
      <c r="Q50" s="7">
        <f>('Imputed Data'!Q50-'Imputed Data'!Q38)/'Imputed Data'!Q38</f>
        <v>1.3709063214013578E-2</v>
      </c>
      <c r="R50" s="7">
        <f>('Imputed Data'!R50-'Imputed Data'!R38)/'Imputed Data'!R38</f>
        <v>6.3609467455621474E-2</v>
      </c>
      <c r="S50" s="7">
        <f>('Imputed Data'!S50-'Imputed Data'!S38)/'Imputed Data'!S38</f>
        <v>4.8349961627014444E-2</v>
      </c>
      <c r="T50" s="7">
        <f>('Imputed Data'!T50-'Imputed Data'!T38)/'Imputed Data'!T38</f>
        <v>4.0767386091127053E-2</v>
      </c>
      <c r="U50" s="7">
        <f>('Imputed Data'!U50-'Imputed Data'!U38)/'Imputed Data'!U38</f>
        <v>4.7104247104247057E-2</v>
      </c>
      <c r="V50" s="7">
        <f>('Imputed Data'!V50-'Imputed Data'!V38)/'Imputed Data'!V38</f>
        <v>5.0243111831442366E-2</v>
      </c>
      <c r="W50" s="7">
        <f>('Imputed Data'!W50-'Imputed Data'!W38)/'Imputed Data'!W38</f>
        <v>3.3414832925835324E-2</v>
      </c>
      <c r="X50" s="7">
        <f>('Imputed Data'!X50-'Imputed Data'!X38)/'Imputed Data'!X38</f>
        <v>4.1867954911433192E-2</v>
      </c>
      <c r="Y50" s="7">
        <f>('Imputed Data'!Y50-'Imputed Data'!Y38)/'Imputed Data'!Y38</f>
        <v>4.1803278688524542E-2</v>
      </c>
      <c r="Z50" s="7">
        <f>('Imputed Data'!Z50-'Imputed Data'!Z38)/'Imputed Data'!Z38</f>
        <v>5.3105310531053163E-2</v>
      </c>
      <c r="AA50" s="7">
        <f>('Imputed Data'!AA50-'Imputed Data'!AA38)/'Imputed Data'!AA38</f>
        <v>3.6727879799666158E-2</v>
      </c>
      <c r="AB50" s="7">
        <f>('Imputed Data'!AB50-'Imputed Data'!AB38)/'Imputed Data'!AB38</f>
        <v>5.5423594615993776E-2</v>
      </c>
      <c r="AC50" s="7">
        <f>('Imputed Data'!AC50-'Imputed Data'!AC38)/'Imputed Data'!AC38</f>
        <v>6.2882096069869026E-2</v>
      </c>
      <c r="AD50" s="7">
        <f>('Imputed Data'!AD50-'Imputed Data'!AD38)/'Imputed Data'!AD38</f>
        <v>4.9789029535865025E-2</v>
      </c>
      <c r="AE50" s="7">
        <f>('Imputed Data'!AE50-'Imputed Data'!AE38)/'Imputed Data'!AE38</f>
        <v>3.1670625494853638E-2</v>
      </c>
    </row>
    <row r="51" spans="1:31" x14ac:dyDescent="0.25">
      <c r="A51" s="1">
        <f>'Imputed Data'!A51</f>
        <v>42767</v>
      </c>
      <c r="B51" s="1" t="str">
        <f>'Imputed Data'!B51</f>
        <v>Rural+Urban</v>
      </c>
      <c r="C51" s="2">
        <f>'Imputed Data'!C51</f>
        <v>2017</v>
      </c>
      <c r="D51" s="1" t="str">
        <f>'Imputed Data'!D51</f>
        <v>February</v>
      </c>
      <c r="E51" s="7">
        <f>('Imputed Data'!E51-'Imputed Data'!E39)/'Imputed Data'!E39</f>
        <v>5.3006329113923958E-2</v>
      </c>
      <c r="F51" s="7">
        <f>('Imputed Data'!F51-'Imputed Data'!F39)/'Imputed Data'!F39</f>
        <v>3.4277198211624615E-2</v>
      </c>
      <c r="G51" s="7">
        <f>('Imputed Data'!G51-'Imputed Data'!G39)/'Imputed Data'!G39</f>
        <v>4.6620046620048389E-3</v>
      </c>
      <c r="H51" s="7">
        <f>('Imputed Data'!H51-'Imputed Data'!H39)/'Imputed Data'!H39</f>
        <v>4.221028396009209E-2</v>
      </c>
      <c r="I51" s="7">
        <f>('Imputed Data'!I51-'Imputed Data'!I39)/'Imputed Data'!I39</f>
        <v>3.8327526132404234E-2</v>
      </c>
      <c r="J51" s="7">
        <f>('Imputed Data'!J51-'Imputed Data'!J39)/'Imputed Data'!J39</f>
        <v>8.3266613290632549E-2</v>
      </c>
      <c r="K51" s="7">
        <f>('Imputed Data'!K51-'Imputed Data'!K39)/'Imputed Data'!K39</f>
        <v>-8.2885648503453646E-2</v>
      </c>
      <c r="L51" s="7">
        <f>('Imputed Data'!L51-'Imputed Data'!L39)/'Imputed Data'!L39</f>
        <v>-9.0800477897252194E-2</v>
      </c>
      <c r="M51" s="7">
        <f>('Imputed Data'!M51-'Imputed Data'!M39)/'Imputed Data'!M39</f>
        <v>0.18724696356275305</v>
      </c>
      <c r="N51" s="7">
        <f>('Imputed Data'!N51-'Imputed Data'!N39)/'Imputed Data'!N39</f>
        <v>3.8173652694610739E-2</v>
      </c>
      <c r="O51" s="7">
        <f>('Imputed Data'!O51-'Imputed Data'!O39)/'Imputed Data'!O39</f>
        <v>3.1707317073170781E-2</v>
      </c>
      <c r="P51" s="7">
        <f>('Imputed Data'!P51-'Imputed Data'!P39)/'Imputed Data'!P39</f>
        <v>5.4491899852724422E-2</v>
      </c>
      <c r="Q51" s="7">
        <f>('Imputed Data'!Q51-'Imputed Data'!Q39)/'Imputed Data'!Q39</f>
        <v>2.3864511162432597E-2</v>
      </c>
      <c r="R51" s="7">
        <f>('Imputed Data'!R51-'Imputed Data'!R39)/'Imputed Data'!R39</f>
        <v>6.2545989698307575E-2</v>
      </c>
      <c r="S51" s="7">
        <f>('Imputed Data'!S51-'Imputed Data'!S39)/'Imputed Data'!S39</f>
        <v>4.5072574484339233E-2</v>
      </c>
      <c r="T51" s="7">
        <f>('Imputed Data'!T51-'Imputed Data'!T39)/'Imputed Data'!T39</f>
        <v>3.5771065182830006E-2</v>
      </c>
      <c r="U51" s="7">
        <f>('Imputed Data'!U51-'Imputed Data'!U39)/'Imputed Data'!U39</f>
        <v>4.3778801843318109E-2</v>
      </c>
      <c r="V51" s="7">
        <f>('Imputed Data'!V51-'Imputed Data'!V39)/'Imputed Data'!V39</f>
        <v>4.9035369774919568E-2</v>
      </c>
      <c r="W51" s="7">
        <f>('Imputed Data'!W51-'Imputed Data'!W39)/'Imputed Data'!W39</f>
        <v>3.899268887083681E-2</v>
      </c>
      <c r="X51" s="7">
        <f>('Imputed Data'!X51-'Imputed Data'!X39)/'Imputed Data'!X39</f>
        <v>4.0930979133226283E-2</v>
      </c>
      <c r="Y51" s="7">
        <f>('Imputed Data'!Y51-'Imputed Data'!Y39)/'Imputed Data'!Y39</f>
        <v>4.0000000000000049E-2</v>
      </c>
      <c r="Z51" s="7">
        <f>('Imputed Data'!Z51-'Imputed Data'!Z39)/'Imputed Data'!Z39</f>
        <v>5.385996409335727E-2</v>
      </c>
      <c r="AA51" s="7">
        <f>('Imputed Data'!AA51-'Imputed Data'!AA39)/'Imputed Data'!AA39</f>
        <v>3.5743973399833727E-2</v>
      </c>
      <c r="AB51" s="7">
        <f>('Imputed Data'!AB51-'Imputed Data'!AB39)/'Imputed Data'!AB39</f>
        <v>5.3712480252764705E-2</v>
      </c>
      <c r="AC51" s="7">
        <f>('Imputed Data'!AC51-'Imputed Data'!AC39)/'Imputed Data'!AC39</f>
        <v>5.1457975986277875E-2</v>
      </c>
      <c r="AD51" s="7">
        <f>('Imputed Data'!AD51-'Imputed Data'!AD39)/'Imputed Data'!AD39</f>
        <v>4.7858942065491211E-2</v>
      </c>
      <c r="AE51" s="7">
        <f>('Imputed Data'!AE51-'Imputed Data'!AE39)/'Imputed Data'!AE39</f>
        <v>3.6507936507936462E-2</v>
      </c>
    </row>
    <row r="52" spans="1:31" x14ac:dyDescent="0.25">
      <c r="A52" s="1">
        <f>'Imputed Data'!A52</f>
        <v>42795</v>
      </c>
      <c r="B52" s="1" t="str">
        <f>'Imputed Data'!B52</f>
        <v>Rural+Urban</v>
      </c>
      <c r="C52" s="2">
        <f>'Imputed Data'!C52</f>
        <v>2017</v>
      </c>
      <c r="D52" s="1" t="str">
        <f>'Imputed Data'!D52</f>
        <v>March</v>
      </c>
      <c r="E52" s="7">
        <f>('Imputed Data'!E52-'Imputed Data'!E40)/'Imputed Data'!E40</f>
        <v>5.3754940711462543E-2</v>
      </c>
      <c r="F52" s="7">
        <f>('Imputed Data'!F52-'Imputed Data'!F40)/'Imputed Data'!F40</f>
        <v>2.8867505551443417E-2</v>
      </c>
      <c r="G52" s="7">
        <f>('Imputed Data'!G52-'Imputed Data'!G40)/'Imputed Data'!G40</f>
        <v>3.2102728731942219E-2</v>
      </c>
      <c r="H52" s="7">
        <f>('Imputed Data'!H52-'Imputed Data'!H40)/'Imputed Data'!H40</f>
        <v>4.6850998463901866E-2</v>
      </c>
      <c r="I52" s="7">
        <f>('Imputed Data'!I52-'Imputed Data'!I40)/'Imputed Data'!I40</f>
        <v>3.7554585152838403E-2</v>
      </c>
      <c r="J52" s="7">
        <f>('Imputed Data'!J52-'Imputed Data'!J40)/'Imputed Data'!J40</f>
        <v>9.5879556259904977E-2</v>
      </c>
      <c r="K52" s="7">
        <f>('Imputed Data'!K52-'Imputed Data'!K40)/'Imputed Data'!K40</f>
        <v>-7.1648690292758166E-2</v>
      </c>
      <c r="L52" s="7">
        <f>('Imputed Data'!L52-'Imputed Data'!L40)/'Imputed Data'!L40</f>
        <v>-0.12416311625076083</v>
      </c>
      <c r="M52" s="7">
        <f>('Imputed Data'!M52-'Imputed Data'!M40)/'Imputed Data'!M40</f>
        <v>0.16947472745292363</v>
      </c>
      <c r="N52" s="7">
        <f>('Imputed Data'!N52-'Imputed Data'!N40)/'Imputed Data'!N40</f>
        <v>2.9873039581777446E-2</v>
      </c>
      <c r="O52" s="7">
        <f>('Imputed Data'!O52-'Imputed Data'!O40)/'Imputed Data'!O40</f>
        <v>3.3306255077173101E-2</v>
      </c>
      <c r="P52" s="7">
        <f>('Imputed Data'!P52-'Imputed Data'!P40)/'Imputed Data'!P40</f>
        <v>5.6493030080704242E-2</v>
      </c>
      <c r="Q52" s="7">
        <f>('Imputed Data'!Q52-'Imputed Data'!Q40)/'Imputed Data'!Q40</f>
        <v>2.5423728813559188E-2</v>
      </c>
      <c r="R52" s="7">
        <f>('Imputed Data'!R52-'Imputed Data'!R40)/'Imputed Data'!R40</f>
        <v>6.300366300366296E-2</v>
      </c>
      <c r="S52" s="7">
        <f>('Imputed Data'!S52-'Imputed Data'!S40)/'Imputed Data'!S40</f>
        <v>4.5696877380045693E-2</v>
      </c>
      <c r="T52" s="7">
        <f>('Imputed Data'!T52-'Imputed Data'!T40)/'Imputed Data'!T40</f>
        <v>3.5685963521015072E-2</v>
      </c>
      <c r="U52" s="7">
        <f>('Imputed Data'!U52-'Imputed Data'!U40)/'Imputed Data'!U40</f>
        <v>4.5210727969348705E-2</v>
      </c>
      <c r="V52" s="7">
        <f>('Imputed Data'!V52-'Imputed Data'!V40)/'Imputed Data'!V40</f>
        <v>4.9639711769415437E-2</v>
      </c>
      <c r="W52" s="7">
        <f>('Imputed Data'!W52-'Imputed Data'!W40)/'Imputed Data'!W40</f>
        <v>5.4738562091503171E-2</v>
      </c>
      <c r="X52" s="7">
        <f>('Imputed Data'!X52-'Imputed Data'!X40)/'Imputed Data'!X40</f>
        <v>3.9968025579536375E-2</v>
      </c>
      <c r="Y52" s="7">
        <f>('Imputed Data'!Y52-'Imputed Data'!Y40)/'Imputed Data'!Y40</f>
        <v>3.9869812855980402E-2</v>
      </c>
      <c r="Z52" s="7">
        <f>('Imputed Data'!Z52-'Imputed Data'!Z40)/'Imputed Data'!Z40</f>
        <v>6.0414788097384924E-2</v>
      </c>
      <c r="AA52" s="7">
        <f>('Imputed Data'!AA52-'Imputed Data'!AA40)/'Imputed Data'!AA40</f>
        <v>3.6484245439469369E-2</v>
      </c>
      <c r="AB52" s="7">
        <f>('Imputed Data'!AB52-'Imputed Data'!AB40)/'Imputed Data'!AB40</f>
        <v>5.4373522458628885E-2</v>
      </c>
      <c r="AC52" s="7">
        <f>('Imputed Data'!AC52-'Imputed Data'!AC40)/'Imputed Data'!AC40</f>
        <v>4.5183290707587358E-2</v>
      </c>
      <c r="AD52" s="7">
        <f>('Imputed Data'!AD52-'Imputed Data'!AD40)/'Imputed Data'!AD40</f>
        <v>4.8616932103939622E-2</v>
      </c>
      <c r="AE52" s="7">
        <f>('Imputed Data'!AE52-'Imputed Data'!AE40)/'Imputed Data'!AE40</f>
        <v>3.8888888888888931E-2</v>
      </c>
    </row>
    <row r="53" spans="1:31" x14ac:dyDescent="0.25">
      <c r="A53" s="1">
        <f>'Imputed Data'!A53</f>
        <v>42826</v>
      </c>
      <c r="B53" s="1" t="str">
        <f>'Imputed Data'!B53</f>
        <v>Rural+Urban</v>
      </c>
      <c r="C53" s="2">
        <f>'Imputed Data'!C53</f>
        <v>2017</v>
      </c>
      <c r="D53" s="1" t="str">
        <f>'Imputed Data'!D53</f>
        <v>April</v>
      </c>
      <c r="E53" s="7">
        <f>('Imputed Data'!E53-'Imputed Data'!E41)/'Imputed Data'!E41</f>
        <v>5.0552922590837331E-2</v>
      </c>
      <c r="F53" s="7">
        <f>('Imputed Data'!F53-'Imputed Data'!F41)/'Imputed Data'!F41</f>
        <v>1.9005847953216332E-2</v>
      </c>
      <c r="G53" s="7">
        <f>('Imputed Data'!G53-'Imputed Data'!G41)/'Imputed Data'!G41</f>
        <v>3.3606557377049137E-2</v>
      </c>
      <c r="H53" s="7">
        <f>('Imputed Data'!H53-'Imputed Data'!H41)/'Imputed Data'!H41</f>
        <v>4.8128342245989171E-2</v>
      </c>
      <c r="I53" s="7">
        <f>('Imputed Data'!I53-'Imputed Data'!I41)/'Imputed Data'!I41</f>
        <v>3.1358885017421678E-2</v>
      </c>
      <c r="J53" s="7">
        <f>('Imputed Data'!J53-'Imputed Data'!J41)/'Imputed Data'!J41</f>
        <v>3.7833827893175027E-2</v>
      </c>
      <c r="K53" s="7">
        <f>('Imputed Data'!K53-'Imputed Data'!K41)/'Imputed Data'!K41</f>
        <v>-8.5925925925925878E-2</v>
      </c>
      <c r="L53" s="7">
        <f>('Imputed Data'!L53-'Imputed Data'!L41)/'Imputed Data'!L41</f>
        <v>-0.15880597014925371</v>
      </c>
      <c r="M53" s="7">
        <f>('Imputed Data'!M53-'Imputed Data'!M41)/'Imputed Data'!M41</f>
        <v>0.11372180451127814</v>
      </c>
      <c r="N53" s="7">
        <f>('Imputed Data'!N53-'Imputed Data'!N41)/'Imputed Data'!N41</f>
        <v>1.5624999999999957E-2</v>
      </c>
      <c r="O53" s="7">
        <f>('Imputed Data'!O53-'Imputed Data'!O41)/'Imputed Data'!O41</f>
        <v>3.0744336569579381E-2</v>
      </c>
      <c r="P53" s="7">
        <f>('Imputed Data'!P53-'Imputed Data'!P41)/'Imputed Data'!P41</f>
        <v>5.4864667154352599E-2</v>
      </c>
      <c r="Q53" s="7">
        <f>('Imputed Data'!Q53-'Imputed Data'!Q41)/'Imputed Data'!Q41</f>
        <v>1.2898330804248775E-2</v>
      </c>
      <c r="R53" s="7">
        <f>('Imputed Data'!R53-'Imputed Data'!R41)/'Imputed Data'!R41</f>
        <v>6.0539752005835244E-2</v>
      </c>
      <c r="S53" s="7">
        <f>('Imputed Data'!S53-'Imputed Data'!S41)/'Imputed Data'!S41</f>
        <v>4.7040971168436939E-2</v>
      </c>
      <c r="T53" s="7">
        <f>('Imputed Data'!T53-'Imputed Data'!T41)/'Imputed Data'!T41</f>
        <v>3.7183544303797375E-2</v>
      </c>
      <c r="U53" s="7">
        <f>('Imputed Data'!U53-'Imputed Data'!U41)/'Imputed Data'!U41</f>
        <v>4.5801526717557252E-2</v>
      </c>
      <c r="V53" s="7">
        <f>('Imputed Data'!V53-'Imputed Data'!V41)/'Imputed Data'!V41</f>
        <v>4.8566878980891674E-2</v>
      </c>
      <c r="W53" s="7">
        <f>('Imputed Data'!W53-'Imputed Data'!W41)/'Imputed Data'!W41</f>
        <v>6.132461161079325E-2</v>
      </c>
      <c r="X53" s="7">
        <f>('Imputed Data'!X53-'Imputed Data'!X41)/'Imputed Data'!X41</f>
        <v>3.9043824701195266E-2</v>
      </c>
      <c r="Y53" s="7">
        <f>('Imputed Data'!Y53-'Imputed Data'!Y41)/'Imputed Data'!Y41</f>
        <v>3.9772727272727203E-2</v>
      </c>
      <c r="Z53" s="7">
        <f>('Imputed Data'!Z53-'Imputed Data'!Z41)/'Imputed Data'!Z41</f>
        <v>4.0142729705619981E-2</v>
      </c>
      <c r="AA53" s="7">
        <f>('Imputed Data'!AA53-'Imputed Data'!AA41)/'Imputed Data'!AA41</f>
        <v>3.3030553261767133E-2</v>
      </c>
      <c r="AB53" s="7">
        <f>('Imputed Data'!AB53-'Imputed Data'!AB41)/'Imputed Data'!AB41</f>
        <v>5.3249804228660901E-2</v>
      </c>
      <c r="AC53" s="7">
        <f>('Imputed Data'!AC53-'Imputed Data'!AC41)/'Imputed Data'!AC41</f>
        <v>4.2337002540220152E-2</v>
      </c>
      <c r="AD53" s="7">
        <f>('Imputed Data'!AD53-'Imputed Data'!AD41)/'Imputed Data'!AD41</f>
        <v>4.2499999999999954E-2</v>
      </c>
      <c r="AE53" s="7">
        <f>('Imputed Data'!AE53-'Imputed Data'!AE41)/'Imputed Data'!AE41</f>
        <v>2.9850746268656695E-2</v>
      </c>
    </row>
    <row r="54" spans="1:31" x14ac:dyDescent="0.25">
      <c r="A54" s="1">
        <f>'Imputed Data'!A54</f>
        <v>42856</v>
      </c>
      <c r="B54" s="1" t="str">
        <f>'Imputed Data'!B54</f>
        <v>Rural+Urban</v>
      </c>
      <c r="C54" s="2">
        <f>'Imputed Data'!C54</f>
        <v>2017</v>
      </c>
      <c r="D54" s="1" t="str">
        <f>'Imputed Data'!D54</f>
        <v>May</v>
      </c>
      <c r="E54" s="7">
        <f>('Imputed Data'!E54-'Imputed Data'!E42)/'Imputed Data'!E42</f>
        <v>4.8107255520504801E-2</v>
      </c>
      <c r="F54" s="7">
        <f>('Imputed Data'!F54-'Imputed Data'!F42)/'Imputed Data'!F42</f>
        <v>1.7972681524083396E-2</v>
      </c>
      <c r="G54" s="7">
        <f>('Imputed Data'!G54-'Imputed Data'!G42)/'Imputed Data'!G42</f>
        <v>7.1770334928228981E-3</v>
      </c>
      <c r="H54" s="7">
        <f>('Imputed Data'!H54-'Imputed Data'!H42)/'Imputed Data'!H42</f>
        <v>4.5558086560364468E-2</v>
      </c>
      <c r="I54" s="7">
        <f>('Imputed Data'!I54-'Imputed Data'!I42)/'Imputed Data'!I42</f>
        <v>2.6956521739130386E-2</v>
      </c>
      <c r="J54" s="7">
        <f>('Imputed Data'!J54-'Imputed Data'!J42)/'Imputed Data'!J42</f>
        <v>1.397058823529416E-2</v>
      </c>
      <c r="K54" s="7">
        <f>('Imputed Data'!K54-'Imputed Data'!K42)/'Imputed Data'!K42</f>
        <v>-0.13439007580978635</v>
      </c>
      <c r="L54" s="7">
        <f>('Imputed Data'!L54-'Imputed Data'!L42)/'Imputed Data'!L42</f>
        <v>-0.1945253348864297</v>
      </c>
      <c r="M54" s="7">
        <f>('Imputed Data'!M54-'Imputed Data'!M42)/'Imputed Data'!M42</f>
        <v>9.8436062557497719E-2</v>
      </c>
      <c r="N54" s="7">
        <f>('Imputed Data'!N54-'Imputed Data'!N42)/'Imputed Data'!N42</f>
        <v>5.1736881005172847E-3</v>
      </c>
      <c r="O54" s="7">
        <f>('Imputed Data'!O54-'Imputed Data'!O42)/'Imputed Data'!O42</f>
        <v>2.7375201288244697E-2</v>
      </c>
      <c r="P54" s="7">
        <f>('Imputed Data'!P54-'Imputed Data'!P42)/'Imputed Data'!P42</f>
        <v>5.167394468704508E-2</v>
      </c>
      <c r="Q54" s="7">
        <f>('Imputed Data'!Q54-'Imputed Data'!Q42)/'Imputed Data'!Q42</f>
        <v>-2.2388059701493384E-3</v>
      </c>
      <c r="R54" s="7">
        <f>('Imputed Data'!R54-'Imputed Data'!R42)/'Imputed Data'!R42</f>
        <v>6.1728395061728399E-2</v>
      </c>
      <c r="S54" s="7">
        <f>('Imputed Data'!S54-'Imputed Data'!S42)/'Imputed Data'!S42</f>
        <v>4.538577912254161E-2</v>
      </c>
      <c r="T54" s="7">
        <f>('Imputed Data'!T54-'Imputed Data'!T42)/'Imputed Data'!T42</f>
        <v>3.6277602523659372E-2</v>
      </c>
      <c r="U54" s="7">
        <f>('Imputed Data'!U54-'Imputed Data'!U42)/'Imputed Data'!U42</f>
        <v>4.414003044140017E-2</v>
      </c>
      <c r="V54" s="7">
        <f>('Imputed Data'!V54-'Imputed Data'!V42)/'Imputed Data'!V42</f>
        <v>4.8412698412698366E-2</v>
      </c>
      <c r="W54" s="7">
        <f>('Imputed Data'!W54-'Imputed Data'!W42)/'Imputed Data'!W42</f>
        <v>5.4604726976365141E-2</v>
      </c>
      <c r="X54" s="7">
        <f>('Imputed Data'!X54-'Imputed Data'!X42)/'Imputed Data'!X42</f>
        <v>3.8888888888888931E-2</v>
      </c>
      <c r="Y54" s="7">
        <f>('Imputed Data'!Y54-'Imputed Data'!Y42)/'Imputed Data'!Y42</f>
        <v>3.7995149555375932E-2</v>
      </c>
      <c r="Z54" s="7">
        <f>('Imputed Data'!Z54-'Imputed Data'!Z42)/'Imputed Data'!Z42</f>
        <v>3.4574468085106433E-2</v>
      </c>
      <c r="AA54" s="7">
        <f>('Imputed Data'!AA54-'Imputed Data'!AA42)/'Imputed Data'!AA42</f>
        <v>3.4567901234567926E-2</v>
      </c>
      <c r="AB54" s="7">
        <f>('Imputed Data'!AB54-'Imputed Data'!AB42)/'Imputed Data'!AB42</f>
        <v>4.9027237354085693E-2</v>
      </c>
      <c r="AC54" s="7">
        <f>('Imputed Data'!AC54-'Imputed Data'!AC42)/'Imputed Data'!AC42</f>
        <v>3.1879194630872458E-2</v>
      </c>
      <c r="AD54" s="7">
        <f>('Imputed Data'!AD54-'Imputed Data'!AD42)/'Imputed Data'!AD42</f>
        <v>3.8111019055509482E-2</v>
      </c>
      <c r="AE54" s="7">
        <f>('Imputed Data'!AE54-'Imputed Data'!AE42)/'Imputed Data'!AE42</f>
        <v>2.1772939346811911E-2</v>
      </c>
    </row>
    <row r="55" spans="1:31" x14ac:dyDescent="0.25">
      <c r="A55" s="1">
        <f>'Imputed Data'!A55</f>
        <v>42887</v>
      </c>
      <c r="B55" s="1" t="str">
        <f>'Imputed Data'!B55</f>
        <v>Rural+Urban</v>
      </c>
      <c r="C55" s="2">
        <f>'Imputed Data'!C55</f>
        <v>2017</v>
      </c>
      <c r="D55" s="1" t="str">
        <f>'Imputed Data'!D55</f>
        <v>June</v>
      </c>
      <c r="E55" s="7">
        <f>('Imputed Data'!E55-'Imputed Data'!E43)/'Imputed Data'!E43</f>
        <v>4.3852779953014946E-2</v>
      </c>
      <c r="F55" s="7">
        <f>('Imputed Data'!F55-'Imputed Data'!F43)/'Imputed Data'!F43</f>
        <v>3.5587188612099648E-2</v>
      </c>
      <c r="G55" s="7">
        <f>('Imputed Data'!G55-'Imputed Data'!G43)/'Imputed Data'!G43</f>
        <v>-1.5588464536244507E-3</v>
      </c>
      <c r="H55" s="7">
        <f>('Imputed Data'!H55-'Imputed Data'!H43)/'Imputed Data'!H43</f>
        <v>4.1478129713423829E-2</v>
      </c>
      <c r="I55" s="7">
        <f>('Imputed Data'!I55-'Imputed Data'!I43)/'Imputed Data'!I43</f>
        <v>2.3376623376623402E-2</v>
      </c>
      <c r="J55" s="7">
        <f>('Imputed Data'!J55-'Imputed Data'!J43)/'Imputed Data'!J43</f>
        <v>1.9780219780219696E-2</v>
      </c>
      <c r="K55" s="7">
        <f>('Imputed Data'!K55-'Imputed Data'!K43)/'Imputed Data'!K43</f>
        <v>-0.16530995616781452</v>
      </c>
      <c r="L55" s="7">
        <f>('Imputed Data'!L55-'Imputed Data'!L43)/'Imputed Data'!L43</f>
        <v>-0.21858864027538738</v>
      </c>
      <c r="M55" s="7">
        <f>('Imputed Data'!M55-'Imputed Data'!M43)/'Imputed Data'!M43</f>
        <v>8.8262056414922546E-2</v>
      </c>
      <c r="N55" s="7">
        <f>('Imputed Data'!N55-'Imputed Data'!N43)/'Imputed Data'!N43</f>
        <v>-7.3367571533382242E-3</v>
      </c>
      <c r="O55" s="7">
        <f>('Imputed Data'!O55-'Imputed Data'!O43)/'Imputed Data'!O43</f>
        <v>2.7331189710610864E-2</v>
      </c>
      <c r="P55" s="7">
        <f>('Imputed Data'!P55-'Imputed Data'!P43)/'Imputed Data'!P43</f>
        <v>4.9239681390296969E-2</v>
      </c>
      <c r="Q55" s="7">
        <f>('Imputed Data'!Q55-'Imputed Data'!Q43)/'Imputed Data'!Q43</f>
        <v>-1.1695906432748704E-2</v>
      </c>
      <c r="R55" s="7">
        <f>('Imputed Data'!R55-'Imputed Data'!R43)/'Imputed Data'!R43</f>
        <v>5.6236481614996482E-2</v>
      </c>
      <c r="S55" s="7">
        <f>('Imputed Data'!S55-'Imputed Data'!S43)/'Imputed Data'!S43</f>
        <v>4.2136945071482274E-2</v>
      </c>
      <c r="T55" s="7">
        <f>('Imputed Data'!T55-'Imputed Data'!T43)/'Imputed Data'!T43</f>
        <v>3.5377358490565926E-2</v>
      </c>
      <c r="U55" s="7">
        <f>('Imputed Data'!U55-'Imputed Data'!U43)/'Imputed Data'!U43</f>
        <v>4.1666666666666664E-2</v>
      </c>
      <c r="V55" s="7">
        <f>('Imputed Data'!V55-'Imputed Data'!V43)/'Imputed Data'!V43</f>
        <v>4.7011952191235107E-2</v>
      </c>
      <c r="W55" s="7">
        <f>('Imputed Data'!W55-'Imputed Data'!W43)/'Imputed Data'!W43</f>
        <v>4.4606650446066619E-2</v>
      </c>
      <c r="X55" s="7">
        <f>('Imputed Data'!X55-'Imputed Data'!X43)/'Imputed Data'!X43</f>
        <v>3.797468354430366E-2</v>
      </c>
      <c r="Y55" s="7">
        <f>('Imputed Data'!Y55-'Imputed Data'!Y43)/'Imputed Data'!Y43</f>
        <v>3.5455278001611648E-2</v>
      </c>
      <c r="Z55" s="7">
        <f>('Imputed Data'!Z55-'Imputed Data'!Z43)/'Imputed Data'!Z43</f>
        <v>2.0140105078809083E-2</v>
      </c>
      <c r="AA55" s="7">
        <f>('Imputed Data'!AA55-'Imputed Data'!AA43)/'Imputed Data'!AA43</f>
        <v>3.4511092851273649E-2</v>
      </c>
      <c r="AB55" s="7">
        <f>('Imputed Data'!AB55-'Imputed Data'!AB43)/'Imputed Data'!AB43</f>
        <v>4.3947571318427275E-2</v>
      </c>
      <c r="AC55" s="7">
        <f>('Imputed Data'!AC55-'Imputed Data'!AC43)/'Imputed Data'!AC43</f>
        <v>3.350083752093802E-2</v>
      </c>
      <c r="AD55" s="7">
        <f>('Imputed Data'!AD55-'Imputed Data'!AD43)/'Imputed Data'!AD43</f>
        <v>3.292181069958848E-2</v>
      </c>
      <c r="AE55" s="7">
        <f>('Imputed Data'!AE55-'Imputed Data'!AE43)/'Imputed Data'!AE43</f>
        <v>1.4604150653343625E-2</v>
      </c>
    </row>
    <row r="56" spans="1:31" x14ac:dyDescent="0.25">
      <c r="A56" s="1">
        <f>'Imputed Data'!A56</f>
        <v>42917</v>
      </c>
      <c r="B56" s="1" t="str">
        <f>'Imputed Data'!B56</f>
        <v>Rural+Urban</v>
      </c>
      <c r="C56" s="2">
        <f>'Imputed Data'!C56</f>
        <v>2017</v>
      </c>
      <c r="D56" s="1" t="str">
        <f>'Imputed Data'!D56</f>
        <v>July</v>
      </c>
      <c r="E56" s="7">
        <f>('Imputed Data'!E56-'Imputed Data'!E44)/'Imputed Data'!E44</f>
        <v>3.9688715953307349E-2</v>
      </c>
      <c r="F56" s="7">
        <f>('Imputed Data'!F56-'Imputed Data'!F44)/'Imputed Data'!F44</f>
        <v>3.1869688385269122E-2</v>
      </c>
      <c r="G56" s="7">
        <f>('Imputed Data'!G56-'Imputed Data'!G44)/'Imputed Data'!G44</f>
        <v>-2.0408163265306249E-2</v>
      </c>
      <c r="H56" s="7">
        <f>('Imputed Data'!H56-'Imputed Data'!H44)/'Imputed Data'!H44</f>
        <v>3.7453183520599252E-2</v>
      </c>
      <c r="I56" s="7">
        <f>('Imputed Data'!I56-'Imputed Data'!I44)/'Imputed Data'!I44</f>
        <v>1.4604810996563475E-2</v>
      </c>
      <c r="J56" s="7">
        <f>('Imputed Data'!J56-'Imputed Data'!J44)/'Imputed Data'!J44</f>
        <v>2.9027576197387515E-2</v>
      </c>
      <c r="K56" s="7">
        <f>('Imputed Data'!K56-'Imputed Data'!K44)/'Imputed Data'!K44</f>
        <v>-3.5671100362756988E-2</v>
      </c>
      <c r="L56" s="7">
        <f>('Imputed Data'!L56-'Imputed Data'!L44)/'Imputed Data'!L44</f>
        <v>-0.24689966178128528</v>
      </c>
      <c r="M56" s="7">
        <f>('Imputed Data'!M56-'Imputed Data'!M44)/'Imputed Data'!M44</f>
        <v>8.2659478885894005E-2</v>
      </c>
      <c r="N56" s="7">
        <f>('Imputed Data'!N56-'Imputed Data'!N44)/'Imputed Data'!N44</f>
        <v>-1.6727272727272809E-2</v>
      </c>
      <c r="O56" s="7">
        <f>('Imputed Data'!O56-'Imputed Data'!O44)/'Imputed Data'!O44</f>
        <v>2.8000000000000001E-2</v>
      </c>
      <c r="P56" s="7">
        <f>('Imputed Data'!P56-'Imputed Data'!P44)/'Imputed Data'!P44</f>
        <v>5.0432276657060515E-2</v>
      </c>
      <c r="Q56" s="7">
        <f>('Imputed Data'!Q56-'Imputed Data'!Q44)/'Imputed Data'!Q44</f>
        <v>4.3352601156068952E-3</v>
      </c>
      <c r="R56" s="7">
        <f>('Imputed Data'!R56-'Imputed Data'!R44)/'Imputed Data'!R44</f>
        <v>6.3890882986360198E-2</v>
      </c>
      <c r="S56" s="7">
        <f>('Imputed Data'!S56-'Imputed Data'!S44)/'Imputed Data'!S44</f>
        <v>4.3445692883895215E-2</v>
      </c>
      <c r="T56" s="7">
        <f>('Imputed Data'!T56-'Imputed Data'!T44)/'Imputed Data'!T44</f>
        <v>3.5266457680250787E-2</v>
      </c>
      <c r="U56" s="7">
        <f>('Imputed Data'!U56-'Imputed Data'!U44)/'Imputed Data'!U44</f>
        <v>4.220045214770176E-2</v>
      </c>
      <c r="V56" s="7">
        <f>('Imputed Data'!V56-'Imputed Data'!V44)/'Imputed Data'!V44</f>
        <v>4.9050632911392313E-2</v>
      </c>
      <c r="W56" s="7">
        <f>('Imputed Data'!W56-'Imputed Data'!W44)/'Imputed Data'!W44</f>
        <v>4.8622366288492702E-2</v>
      </c>
      <c r="X56" s="7">
        <f>('Imputed Data'!X56-'Imputed Data'!X44)/'Imputed Data'!X44</f>
        <v>3.9401103230890466E-2</v>
      </c>
      <c r="Y56" s="7">
        <f>('Imputed Data'!Y56-'Imputed Data'!Y44)/'Imputed Data'!Y44</f>
        <v>3.9357429718875549E-2</v>
      </c>
      <c r="Z56" s="7">
        <f>('Imputed Data'!Z56-'Imputed Data'!Z44)/'Imputed Data'!Z44</f>
        <v>1.8437225636523214E-2</v>
      </c>
      <c r="AA56" s="7">
        <f>('Imputed Data'!AA56-'Imputed Data'!AA44)/'Imputed Data'!AA44</f>
        <v>3.4313725490195984E-2</v>
      </c>
      <c r="AB56" s="7">
        <f>('Imputed Data'!AB56-'Imputed Data'!AB44)/'Imputed Data'!AB44</f>
        <v>4.5871559633027519E-2</v>
      </c>
      <c r="AC56" s="7">
        <f>('Imputed Data'!AC56-'Imputed Data'!AC44)/'Imputed Data'!AC44</f>
        <v>2.5726141078838128E-2</v>
      </c>
      <c r="AD56" s="7">
        <f>('Imputed Data'!AD56-'Imputed Data'!AD44)/'Imputed Data'!AD44</f>
        <v>3.2813781788351107E-2</v>
      </c>
      <c r="AE56" s="7">
        <f>('Imputed Data'!AE56-'Imputed Data'!AE44)/'Imputed Data'!AE44</f>
        <v>2.3646071700991568E-2</v>
      </c>
    </row>
    <row r="57" spans="1:31" x14ac:dyDescent="0.25">
      <c r="A57" s="1">
        <f>'Imputed Data'!A57</f>
        <v>42948</v>
      </c>
      <c r="B57" s="1" t="str">
        <f>'Imputed Data'!B57</f>
        <v>Rural+Urban</v>
      </c>
      <c r="C57" s="2">
        <f>'Imputed Data'!C57</f>
        <v>2017</v>
      </c>
      <c r="D57" s="1" t="str">
        <f>'Imputed Data'!D57</f>
        <v>August</v>
      </c>
      <c r="E57" s="7">
        <f>('Imputed Data'!E57-'Imputed Data'!E45)/'Imputed Data'!E45</f>
        <v>3.8669760247486459E-2</v>
      </c>
      <c r="F57" s="7">
        <f>('Imputed Data'!F57-'Imputed Data'!F45)/'Imputed Data'!F45</f>
        <v>2.9432878679109792E-2</v>
      </c>
      <c r="G57" s="7">
        <f>('Imputed Data'!G57-'Imputed Data'!G45)/'Imputed Data'!G45</f>
        <v>-1.7477203647416284E-2</v>
      </c>
      <c r="H57" s="7">
        <f>('Imputed Data'!H57-'Imputed Data'!H45)/'Imputed Data'!H45</f>
        <v>3.6539895600298328E-2</v>
      </c>
      <c r="I57" s="7">
        <f>('Imputed Data'!I57-'Imputed Data'!I45)/'Imputed Data'!I45</f>
        <v>1.026518391787843E-2</v>
      </c>
      <c r="J57" s="7">
        <f>('Imputed Data'!J57-'Imputed Data'!J45)/'Imputed Data'!J45</f>
        <v>5.3584359160029009E-2</v>
      </c>
      <c r="K57" s="7">
        <f>('Imputed Data'!K57-'Imputed Data'!K45)/'Imputed Data'!K45</f>
        <v>5.9710873664362035E-2</v>
      </c>
      <c r="L57" s="7">
        <f>('Imputed Data'!L57-'Imputed Data'!L45)/'Imputed Data'!L45</f>
        <v>-0.24430523917995448</v>
      </c>
      <c r="M57" s="7">
        <f>('Imputed Data'!M57-'Imputed Data'!M45)/'Imputed Data'!M45</f>
        <v>7.3516386182462326E-2</v>
      </c>
      <c r="N57" s="7">
        <f>('Imputed Data'!N57-'Imputed Data'!N45)/'Imputed Data'!N45</f>
        <v>-1.8102824040550327E-2</v>
      </c>
      <c r="O57" s="7">
        <f>('Imputed Data'!O57-'Imputed Data'!O45)/'Imputed Data'!O45</f>
        <v>2.5498007968127401E-2</v>
      </c>
      <c r="P57" s="7">
        <f>('Imputed Data'!P57-'Imputed Data'!P45)/'Imputed Data'!P45</f>
        <v>5.2329749103942731E-2</v>
      </c>
      <c r="Q57" s="7">
        <f>('Imputed Data'!Q57-'Imputed Data'!Q45)/'Imputed Data'!Q45</f>
        <v>1.9579405366207312E-2</v>
      </c>
      <c r="R57" s="7">
        <f>('Imputed Data'!R57-'Imputed Data'!R45)/'Imputed Data'!R45</f>
        <v>6.8473609129814719E-2</v>
      </c>
      <c r="S57" s="7">
        <f>('Imputed Data'!S57-'Imputed Data'!S45)/'Imputed Data'!S45</f>
        <v>4.6234153616704084E-2</v>
      </c>
      <c r="T57" s="7">
        <f>('Imputed Data'!T57-'Imputed Data'!T45)/'Imputed Data'!T45</f>
        <v>3.7441497659906488E-2</v>
      </c>
      <c r="U57" s="7">
        <f>('Imputed Data'!U57-'Imputed Data'!U45)/'Imputed Data'!U45</f>
        <v>4.5795795795795971E-2</v>
      </c>
      <c r="V57" s="7">
        <f>('Imputed Data'!V57-'Imputed Data'!V45)/'Imputed Data'!V45</f>
        <v>5.5773762765121825E-2</v>
      </c>
      <c r="W57" s="7">
        <f>('Imputed Data'!W57-'Imputed Data'!W45)/'Imputed Data'!W45</f>
        <v>5.0161812297734767E-2</v>
      </c>
      <c r="X57" s="7">
        <f>('Imputed Data'!X57-'Imputed Data'!X45)/'Imputed Data'!X45</f>
        <v>4.2386185243328142E-2</v>
      </c>
      <c r="Y57" s="7">
        <f>('Imputed Data'!Y57-'Imputed Data'!Y45)/'Imputed Data'!Y45</f>
        <v>4.3269230769230699E-2</v>
      </c>
      <c r="Z57" s="7">
        <f>('Imputed Data'!Z57-'Imputed Data'!Z45)/'Imputed Data'!Z45</f>
        <v>3.7135278514588886E-2</v>
      </c>
      <c r="AA57" s="7">
        <f>('Imputed Data'!AA57-'Imputed Data'!AA45)/'Imputed Data'!AA45</f>
        <v>3.7489812550937196E-2</v>
      </c>
      <c r="AB57" s="7">
        <f>('Imputed Data'!AB57-'Imputed Data'!AB45)/'Imputed Data'!AB45</f>
        <v>4.4798785117691774E-2</v>
      </c>
      <c r="AC57" s="7">
        <f>('Imputed Data'!AC57-'Imputed Data'!AC45)/'Imputed Data'!AC45</f>
        <v>2.4691358024691357E-2</v>
      </c>
      <c r="AD57" s="7">
        <f>('Imputed Data'!AD57-'Imputed Data'!AD45)/'Imputed Data'!AD45</f>
        <v>3.849303849303852E-2</v>
      </c>
      <c r="AE57" s="7">
        <f>('Imputed Data'!AE57-'Imputed Data'!AE45)/'Imputed Data'!AE45</f>
        <v>3.2799389778794902E-2</v>
      </c>
    </row>
    <row r="58" spans="1:31" x14ac:dyDescent="0.25">
      <c r="A58" s="1">
        <f>'Imputed Data'!A58</f>
        <v>42979</v>
      </c>
      <c r="B58" s="1" t="str">
        <f>'Imputed Data'!B58</f>
        <v>Rural+Urban</v>
      </c>
      <c r="C58" s="2">
        <f>'Imputed Data'!C58</f>
        <v>2017</v>
      </c>
      <c r="D58" s="1" t="str">
        <f>'Imputed Data'!D58</f>
        <v>September</v>
      </c>
      <c r="E58" s="7">
        <f>('Imputed Data'!E58-'Imputed Data'!E46)/'Imputed Data'!E46</f>
        <v>3.6951501154734279E-2</v>
      </c>
      <c r="F58" s="7">
        <f>('Imputed Data'!F58-'Imputed Data'!F46)/'Imputed Data'!F46</f>
        <v>3.1884057971014533E-2</v>
      </c>
      <c r="G58" s="7">
        <f>('Imputed Data'!G58-'Imputed Data'!G46)/'Imputed Data'!G46</f>
        <v>-2.2988505747127308E-3</v>
      </c>
      <c r="H58" s="7">
        <f>('Imputed Data'!H58-'Imputed Data'!H46)/'Imputed Data'!H46</f>
        <v>3.8690476190476102E-2</v>
      </c>
      <c r="I58" s="7">
        <f>('Imputed Data'!I58-'Imputed Data'!I46)/'Imputed Data'!I46</f>
        <v>1.0238907849829375E-2</v>
      </c>
      <c r="J58" s="7">
        <f>('Imputed Data'!J58-'Imputed Data'!J46)/'Imputed Data'!J46</f>
        <v>5.0698016164584907E-2</v>
      </c>
      <c r="K58" s="7">
        <f>('Imputed Data'!K58-'Imputed Data'!K46)/'Imputed Data'!K46</f>
        <v>3.9150630391506347E-2</v>
      </c>
      <c r="L58" s="7">
        <f>('Imputed Data'!L58-'Imputed Data'!L46)/'Imputed Data'!L46</f>
        <v>-0.22507288629737607</v>
      </c>
      <c r="M58" s="7">
        <f>('Imputed Data'!M58-'Imputed Data'!M46)/'Imputed Data'!M46</f>
        <v>6.7662565905096686E-2</v>
      </c>
      <c r="N58" s="7">
        <f>('Imputed Data'!N58-'Imputed Data'!N46)/'Imputed Data'!N46</f>
        <v>-2.3054755043227786E-2</v>
      </c>
      <c r="O58" s="7">
        <f>('Imputed Data'!O58-'Imputed Data'!O46)/'Imputed Data'!O46</f>
        <v>2.2222222222222313E-2</v>
      </c>
      <c r="P58" s="7">
        <f>('Imputed Data'!P58-'Imputed Data'!P46)/'Imputed Data'!P46</f>
        <v>5.0641940085592176E-2</v>
      </c>
      <c r="Q58" s="7">
        <f>('Imputed Data'!Q58-'Imputed Data'!Q46)/'Imputed Data'!Q46</f>
        <v>1.7569546120058607E-2</v>
      </c>
      <c r="R58" s="7">
        <f>('Imputed Data'!R58-'Imputed Data'!R46)/'Imputed Data'!R46</f>
        <v>6.9503546099290867E-2</v>
      </c>
      <c r="S58" s="7">
        <f>('Imputed Data'!S58-'Imputed Data'!S46)/'Imputed Data'!S46</f>
        <v>4.8291233283803865E-2</v>
      </c>
      <c r="T58" s="7">
        <f>('Imputed Data'!T58-'Imputed Data'!T46)/'Imputed Data'!T46</f>
        <v>3.732503888024892E-2</v>
      </c>
      <c r="U58" s="7">
        <f>('Imputed Data'!U58-'Imputed Data'!U46)/'Imputed Data'!U46</f>
        <v>4.6337817638265978E-2</v>
      </c>
      <c r="V58" s="7">
        <f>('Imputed Data'!V58-'Imputed Data'!V46)/'Imputed Data'!V46</f>
        <v>6.0985144644253184E-2</v>
      </c>
      <c r="W58" s="7">
        <f>('Imputed Data'!W58-'Imputed Data'!W46)/'Imputed Data'!W46</f>
        <v>5.5600322320709154E-2</v>
      </c>
      <c r="X58" s="7">
        <f>('Imputed Data'!X58-'Imputed Data'!X46)/'Imputed Data'!X46</f>
        <v>4.2220484753713879E-2</v>
      </c>
      <c r="Y58" s="7">
        <f>('Imputed Data'!Y58-'Imputed Data'!Y46)/'Imputed Data'!Y46</f>
        <v>4.1467304625199271E-2</v>
      </c>
      <c r="Z58" s="7">
        <f>('Imputed Data'!Z58-'Imputed Data'!Z46)/'Imputed Data'!Z46</f>
        <v>3.4995625546806651E-2</v>
      </c>
      <c r="AA58" s="7">
        <f>('Imputed Data'!AA58-'Imputed Data'!AA46)/'Imputed Data'!AA46</f>
        <v>4.0683482506102521E-2</v>
      </c>
      <c r="AB58" s="7">
        <f>('Imputed Data'!AB58-'Imputed Data'!AB46)/'Imputed Data'!AB46</f>
        <v>4.2488619119878557E-2</v>
      </c>
      <c r="AC58" s="7">
        <f>('Imputed Data'!AC58-'Imputed Data'!AC46)/'Imputed Data'!AC46</f>
        <v>2.9484029484029554E-2</v>
      </c>
      <c r="AD58" s="7">
        <f>('Imputed Data'!AD58-'Imputed Data'!AD46)/'Imputed Data'!AD46</f>
        <v>3.8273615635179177E-2</v>
      </c>
      <c r="AE58" s="7">
        <f>('Imputed Data'!AE58-'Imputed Data'!AE46)/'Imputed Data'!AE46</f>
        <v>3.2849503437738597E-2</v>
      </c>
    </row>
    <row r="59" spans="1:31" x14ac:dyDescent="0.25">
      <c r="A59" s="1">
        <f>'Imputed Data'!A59</f>
        <v>43009</v>
      </c>
      <c r="B59" s="1" t="str">
        <f>'Imputed Data'!B59</f>
        <v>Rural+Urban</v>
      </c>
      <c r="C59" s="2">
        <f>'Imputed Data'!C59</f>
        <v>2017</v>
      </c>
      <c r="D59" s="1" t="str">
        <f>'Imputed Data'!D59</f>
        <v>October</v>
      </c>
      <c r="E59" s="7">
        <f>('Imputed Data'!E59-'Imputed Data'!E47)/'Imputed Data'!E47</f>
        <v>3.6781609195402389E-2</v>
      </c>
      <c r="F59" s="7">
        <f>('Imputed Data'!F59-'Imputed Data'!F47)/'Imputed Data'!F47</f>
        <v>3.1182015953589434E-2</v>
      </c>
      <c r="G59" s="7">
        <f>('Imputed Data'!G59-'Imputed Data'!G47)/'Imputed Data'!G47</f>
        <v>7.6804915514592943E-3</v>
      </c>
      <c r="H59" s="7">
        <f>('Imputed Data'!H59-'Imputed Data'!H47)/'Imputed Data'!H47</f>
        <v>4.3026706231453875E-2</v>
      </c>
      <c r="I59" s="7">
        <f>('Imputed Data'!I59-'Imputed Data'!I47)/'Imputed Data'!I47</f>
        <v>1.0186757215619719E-2</v>
      </c>
      <c r="J59" s="7">
        <f>('Imputed Data'!J59-'Imputed Data'!J47)/'Imputed Data'!J47</f>
        <v>5.0482553823311148E-2</v>
      </c>
      <c r="K59" s="7">
        <f>('Imputed Data'!K59-'Imputed Data'!K47)/'Imputed Data'!K47</f>
        <v>7.5396825396825434E-2</v>
      </c>
      <c r="L59" s="7">
        <f>('Imputed Data'!L59-'Imputed Data'!L47)/'Imputed Data'!L47</f>
        <v>-0.23126089482858794</v>
      </c>
      <c r="M59" s="7">
        <f>('Imputed Data'!M59-'Imputed Data'!M47)/'Imputed Data'!M47</f>
        <v>6.7484662576687143E-2</v>
      </c>
      <c r="N59" s="7">
        <f>('Imputed Data'!N59-'Imputed Data'!N47)/'Imputed Data'!N47</f>
        <v>-2.1536252692031584E-2</v>
      </c>
      <c r="O59" s="7">
        <f>('Imputed Data'!O59-'Imputed Data'!O47)/'Imputed Data'!O47</f>
        <v>2.0618556701030882E-2</v>
      </c>
      <c r="P59" s="7">
        <f>('Imputed Data'!P59-'Imputed Data'!P47)/'Imputed Data'!P47</f>
        <v>4.9610205527994333E-2</v>
      </c>
      <c r="Q59" s="7">
        <f>('Imputed Data'!Q59-'Imputed Data'!Q47)/'Imputed Data'!Q47</f>
        <v>2.2627737226277332E-2</v>
      </c>
      <c r="R59" s="7">
        <f>('Imputed Data'!R59-'Imputed Data'!R47)/'Imputed Data'!R47</f>
        <v>6.9111424541607777E-2</v>
      </c>
      <c r="S59" s="7">
        <f>('Imputed Data'!S59-'Imputed Data'!S47)/'Imputed Data'!S47</f>
        <v>4.797047970479705E-2</v>
      </c>
      <c r="T59" s="7">
        <f>('Imputed Data'!T59-'Imputed Data'!T47)/'Imputed Data'!T47</f>
        <v>3.8729666924864445E-2</v>
      </c>
      <c r="U59" s="7">
        <f>('Imputed Data'!U59-'Imputed Data'!U47)/'Imputed Data'!U47</f>
        <v>4.6840148698884844E-2</v>
      </c>
      <c r="V59" s="7">
        <f>('Imputed Data'!V59-'Imputed Data'!V47)/'Imputed Data'!V47</f>
        <v>6.6822066822067011E-2</v>
      </c>
      <c r="W59" s="7">
        <f>('Imputed Data'!W59-'Imputed Data'!W47)/'Imputed Data'!W47</f>
        <v>6.355591311343517E-2</v>
      </c>
      <c r="X59" s="7">
        <f>('Imputed Data'!X59-'Imputed Data'!X47)/'Imputed Data'!X47</f>
        <v>4.0498442367601153E-2</v>
      </c>
      <c r="Y59" s="7">
        <f>('Imputed Data'!Y59-'Imputed Data'!Y47)/'Imputed Data'!Y47</f>
        <v>4.1237113402061994E-2</v>
      </c>
      <c r="Z59" s="7">
        <f>('Imputed Data'!Z59-'Imputed Data'!Z47)/'Imputed Data'!Z47</f>
        <v>2.2569444444444395E-2</v>
      </c>
      <c r="AA59" s="7">
        <f>('Imputed Data'!AA59-'Imputed Data'!AA47)/'Imputed Data'!AA47</f>
        <v>3.9676113360323929E-2</v>
      </c>
      <c r="AB59" s="7">
        <f>('Imputed Data'!AB59-'Imputed Data'!AB47)/'Imputed Data'!AB47</f>
        <v>4.1540785498489427E-2</v>
      </c>
      <c r="AC59" s="7">
        <f>('Imputed Data'!AC59-'Imputed Data'!AC47)/'Imputed Data'!AC47</f>
        <v>3.3579033579033649E-2</v>
      </c>
      <c r="AD59" s="7">
        <f>('Imputed Data'!AD59-'Imputed Data'!AD47)/'Imputed Data'!AD47</f>
        <v>3.4846029173419751E-2</v>
      </c>
      <c r="AE59" s="7">
        <f>('Imputed Data'!AE59-'Imputed Data'!AE47)/'Imputed Data'!AE47</f>
        <v>3.5768645357686368E-2</v>
      </c>
    </row>
    <row r="60" spans="1:31" x14ac:dyDescent="0.25">
      <c r="A60" s="1">
        <f>'Imputed Data'!A60</f>
        <v>43040</v>
      </c>
      <c r="B60" s="1" t="str">
        <f>'Imputed Data'!B60</f>
        <v>Rural+Urban</v>
      </c>
      <c r="C60" s="2">
        <f>'Imputed Data'!C60</f>
        <v>2017</v>
      </c>
      <c r="D60" s="1" t="str">
        <f>'Imputed Data'!D60</f>
        <v>November</v>
      </c>
      <c r="E60" s="7">
        <f>('Imputed Data'!E60-'Imputed Data'!E48)/'Imputed Data'!E48</f>
        <v>3.272450532724492E-2</v>
      </c>
      <c r="F60" s="7">
        <f>('Imputed Data'!F60-'Imputed Data'!F48)/'Imputed Data'!F48</f>
        <v>3.3381712626995602E-2</v>
      </c>
      <c r="G60" s="7">
        <f>('Imputed Data'!G60-'Imputed Data'!G48)/'Imputed Data'!G48</f>
        <v>8.2575757575757622E-2</v>
      </c>
      <c r="H60" s="7">
        <f>('Imputed Data'!H60-'Imputed Data'!H48)/'Imputed Data'!H48</f>
        <v>4.296296296296305E-2</v>
      </c>
      <c r="I60" s="7">
        <f>('Imputed Data'!I60-'Imputed Data'!I48)/'Imputed Data'!I48</f>
        <v>1.0169491525423752E-2</v>
      </c>
      <c r="J60" s="7">
        <f>('Imputed Data'!J60-'Imputed Data'!J48)/'Imputed Data'!J48</f>
        <v>6.0402684563758351E-2</v>
      </c>
      <c r="K60" s="7">
        <f>('Imputed Data'!K60-'Imputed Data'!K48)/'Imputed Data'!K48</f>
        <v>0.22480620155038764</v>
      </c>
      <c r="L60" s="7">
        <f>('Imputed Data'!L60-'Imputed Data'!L48)/'Imputed Data'!L48</f>
        <v>-0.23587652882935353</v>
      </c>
      <c r="M60" s="7">
        <f>('Imputed Data'!M60-'Imputed Data'!M48)/'Imputed Data'!M48</f>
        <v>7.8001752848378667E-2</v>
      </c>
      <c r="N60" s="7">
        <f>('Imputed Data'!N60-'Imputed Data'!N48)/'Imputed Data'!N48</f>
        <v>-2.0758768790264691E-2</v>
      </c>
      <c r="O60" s="7">
        <f>('Imputed Data'!O60-'Imputed Data'!O48)/'Imputed Data'!O48</f>
        <v>2.3771790808240774E-2</v>
      </c>
      <c r="P60" s="7">
        <f>('Imputed Data'!P60-'Imputed Data'!P48)/'Imputed Data'!P48</f>
        <v>5.0070521861777108E-2</v>
      </c>
      <c r="Q60" s="7">
        <f>('Imputed Data'!Q60-'Imputed Data'!Q48)/'Imputed Data'!Q48</f>
        <v>4.4085231447465102E-2</v>
      </c>
      <c r="R60" s="7">
        <f>('Imputed Data'!R60-'Imputed Data'!R48)/'Imputed Data'!R48</f>
        <v>7.8873239436619641E-2</v>
      </c>
      <c r="S60" s="7">
        <f>('Imputed Data'!S60-'Imputed Data'!S48)/'Imputed Data'!S48</f>
        <v>5.3019145802650866E-2</v>
      </c>
      <c r="T60" s="7">
        <f>('Imputed Data'!T60-'Imputed Data'!T48)/'Imputed Data'!T48</f>
        <v>4.2536736272235108E-2</v>
      </c>
      <c r="U60" s="7">
        <f>('Imputed Data'!U60-'Imputed Data'!U48)/'Imputed Data'!U48</f>
        <v>5.0370370370370454E-2</v>
      </c>
      <c r="V60" s="7">
        <f>('Imputed Data'!V60-'Imputed Data'!V48)/'Imputed Data'!V48</f>
        <v>7.3586367157242455E-2</v>
      </c>
      <c r="W60" s="7">
        <f>('Imputed Data'!W60-'Imputed Data'!W48)/'Imputed Data'!W48</f>
        <v>8.2400000000000084E-2</v>
      </c>
      <c r="X60" s="7">
        <f>('Imputed Data'!X60-'Imputed Data'!X48)/'Imputed Data'!X48</f>
        <v>4.5101088646967429E-2</v>
      </c>
      <c r="Y60" s="7">
        <f>('Imputed Data'!Y60-'Imputed Data'!Y48)/'Imputed Data'!Y48</f>
        <v>4.9050632911392313E-2</v>
      </c>
      <c r="Z60" s="7">
        <f>('Imputed Data'!Z60-'Imputed Data'!Z48)/'Imputed Data'!Z48</f>
        <v>2.2471910112359501E-2</v>
      </c>
      <c r="AA60" s="7">
        <f>('Imputed Data'!AA60-'Imputed Data'!AA48)/'Imputed Data'!AA48</f>
        <v>3.951612903225811E-2</v>
      </c>
      <c r="AB60" s="7">
        <f>('Imputed Data'!AB60-'Imputed Data'!AB48)/'Imputed Data'!AB48</f>
        <v>4.3674698795180593E-2</v>
      </c>
      <c r="AC60" s="7">
        <f>('Imputed Data'!AC60-'Imputed Data'!AC48)/'Imputed Data'!AC48</f>
        <v>3.4257748776508994E-2</v>
      </c>
      <c r="AD60" s="7">
        <f>('Imputed Data'!AD60-'Imputed Data'!AD48)/'Imputed Data'!AD48</f>
        <v>3.7156704361874057E-2</v>
      </c>
      <c r="AE60" s="7">
        <f>('Imputed Data'!AE60-'Imputed Data'!AE48)/'Imputed Data'!AE48</f>
        <v>4.8780487804878099E-2</v>
      </c>
    </row>
    <row r="61" spans="1:31" x14ac:dyDescent="0.25">
      <c r="A61" s="1">
        <f>'Imputed Data'!A61</f>
        <v>43070</v>
      </c>
      <c r="B61" s="1" t="str">
        <f>'Imputed Data'!B61</f>
        <v>Rural+Urban</v>
      </c>
      <c r="C61" s="2">
        <f>'Imputed Data'!C61</f>
        <v>2017</v>
      </c>
      <c r="D61" s="1" t="str">
        <f>'Imputed Data'!D61</f>
        <v>December</v>
      </c>
      <c r="E61" s="7">
        <f>('Imputed Data'!E61-'Imputed Data'!E49)/'Imputed Data'!E49</f>
        <v>2.6455026455026454E-2</v>
      </c>
      <c r="F61" s="7">
        <f>('Imputed Data'!F61-'Imputed Data'!F49)/'Imputed Data'!F49</f>
        <v>4.1424418604651292E-2</v>
      </c>
      <c r="G61" s="7">
        <f>('Imputed Data'!G61-'Imputed Data'!G49)/'Imputed Data'!G49</f>
        <v>9.2550790067719962E-2</v>
      </c>
      <c r="H61" s="7">
        <f>('Imputed Data'!H61-'Imputed Data'!H49)/'Imputed Data'!H49</f>
        <v>4.3671354552183614E-2</v>
      </c>
      <c r="I61" s="7">
        <f>('Imputed Data'!I61-'Imputed Data'!I49)/'Imputed Data'!I49</f>
        <v>1.6020236087689762E-2</v>
      </c>
      <c r="J61" s="7">
        <f>('Imputed Data'!J61-'Imputed Data'!J49)/'Imputed Data'!J49</f>
        <v>6.6314996232102574E-2</v>
      </c>
      <c r="K61" s="7">
        <f>('Imputed Data'!K61-'Imputed Data'!K49)/'Imputed Data'!K49</f>
        <v>0.2905027932960893</v>
      </c>
      <c r="L61" s="7">
        <f>('Imputed Data'!L61-'Imputed Data'!L49)/'Imputed Data'!L49</f>
        <v>-0.23473621813870774</v>
      </c>
      <c r="M61" s="7">
        <f>('Imputed Data'!M61-'Imputed Data'!M49)/'Imputed Data'!M49</f>
        <v>6.2062937062937008E-2</v>
      </c>
      <c r="N61" s="7">
        <f>('Imputed Data'!N61-'Imputed Data'!N49)/'Imputed Data'!N49</f>
        <v>-2.2111269614835911E-2</v>
      </c>
      <c r="O61" s="7">
        <f>('Imputed Data'!O61-'Imputed Data'!O49)/'Imputed Data'!O49</f>
        <v>1.7377567140600451E-2</v>
      </c>
      <c r="P61" s="7">
        <f>('Imputed Data'!P61-'Imputed Data'!P49)/'Imputed Data'!P49</f>
        <v>4.7083626141953536E-2</v>
      </c>
      <c r="Q61" s="7">
        <f>('Imputed Data'!Q61-'Imputed Data'!Q49)/'Imputed Data'!Q49</f>
        <v>4.8507462686567165E-2</v>
      </c>
      <c r="R61" s="7">
        <f>('Imputed Data'!R61-'Imputed Data'!R49)/'Imputed Data'!R49</f>
        <v>7.7568134171907721E-2</v>
      </c>
      <c r="S61" s="7">
        <f>('Imputed Data'!S61-'Imputed Data'!S49)/'Imputed Data'!S49</f>
        <v>4.98899486426998E-2</v>
      </c>
      <c r="T61" s="7">
        <f>('Imputed Data'!T61-'Imputed Data'!T49)/'Imputed Data'!T49</f>
        <v>4.0832049306625443E-2</v>
      </c>
      <c r="U61" s="7">
        <f>('Imputed Data'!U61-'Imputed Data'!U49)/'Imputed Data'!U49</f>
        <v>4.8744460856720781E-2</v>
      </c>
      <c r="V61" s="7">
        <f>('Imputed Data'!V61-'Imputed Data'!V49)/'Imputed Data'!V49</f>
        <v>8.2490272373540813E-2</v>
      </c>
      <c r="W61" s="7">
        <f>('Imputed Data'!W61-'Imputed Data'!W49)/'Imputed Data'!W49</f>
        <v>7.8988941548183256E-2</v>
      </c>
      <c r="X61" s="7">
        <f>('Imputed Data'!X61-'Imputed Data'!X49)/'Imputed Data'!X49</f>
        <v>4.2569659442724464E-2</v>
      </c>
      <c r="Y61" s="7">
        <f>('Imputed Data'!Y61-'Imputed Data'!Y49)/'Imputed Data'!Y49</f>
        <v>4.8857368006304087E-2</v>
      </c>
      <c r="Z61" s="7">
        <f>('Imputed Data'!Z61-'Imputed Data'!Z49)/'Imputed Data'!Z49</f>
        <v>2.1551724137931036E-2</v>
      </c>
      <c r="AA61" s="7">
        <f>('Imputed Data'!AA61-'Imputed Data'!AA49)/'Imputed Data'!AA49</f>
        <v>3.8647342995169059E-2</v>
      </c>
      <c r="AB61" s="7">
        <f>('Imputed Data'!AB61-'Imputed Data'!AB49)/'Imputed Data'!AB49</f>
        <v>4.0570999248685242E-2</v>
      </c>
      <c r="AC61" s="7">
        <f>('Imputed Data'!AC61-'Imputed Data'!AC49)/'Imputed Data'!AC49</f>
        <v>4.459124690338568E-2</v>
      </c>
      <c r="AD61" s="7">
        <f>('Imputed Data'!AD61-'Imputed Data'!AD49)/'Imputed Data'!AD49</f>
        <v>3.7933817594834447E-2</v>
      </c>
      <c r="AE61" s="7">
        <f>('Imputed Data'!AE61-'Imputed Data'!AE49)/'Imputed Data'!AE49</f>
        <v>5.2147239263803546E-2</v>
      </c>
    </row>
    <row r="62" spans="1:31" x14ac:dyDescent="0.25">
      <c r="A62" s="1">
        <f>'Imputed Data'!A62</f>
        <v>43101</v>
      </c>
      <c r="B62" s="1" t="str">
        <f>'Imputed Data'!B62</f>
        <v>Rural+Urban</v>
      </c>
      <c r="C62" s="2">
        <f>'Imputed Data'!C62</f>
        <v>2018</v>
      </c>
      <c r="D62" s="1" t="str">
        <f>'Imputed Data'!D62</f>
        <v>January</v>
      </c>
      <c r="E62" s="7">
        <f>('Imputed Data'!E62-'Imputed Data'!E50)/'Imputed Data'!E50</f>
        <v>2.4096385542168586E-2</v>
      </c>
      <c r="F62" s="7">
        <f>('Imputed Data'!F62-'Imputed Data'!F50)/'Imputed Data'!F50</f>
        <v>4.3415340086830685E-2</v>
      </c>
      <c r="G62" s="7">
        <f>('Imputed Data'!G62-'Imputed Data'!G50)/'Imputed Data'!G50</f>
        <v>8.698940998487141E-2</v>
      </c>
      <c r="H62" s="7">
        <f>('Imputed Data'!H62-'Imputed Data'!H50)/'Imputed Data'!H50</f>
        <v>4.2097488921713354E-2</v>
      </c>
      <c r="I62" s="7">
        <f>('Imputed Data'!I62-'Imputed Data'!I50)/'Imputed Data'!I50</f>
        <v>1.3434089000839703E-2</v>
      </c>
      <c r="J62" s="7">
        <f>('Imputed Data'!J62-'Imputed Data'!J50)/'Imputed Data'!J50</f>
        <v>6.2406015037594069E-2</v>
      </c>
      <c r="K62" s="7">
        <f>('Imputed Data'!K62-'Imputed Data'!K50)/'Imputed Data'!K50</f>
        <v>0.269681742043551</v>
      </c>
      <c r="L62" s="7">
        <f>('Imputed Data'!L62-'Imputed Data'!L50)/'Imputed Data'!L50</f>
        <v>-0.20188087774294672</v>
      </c>
      <c r="M62" s="7">
        <f>('Imputed Data'!M62-'Imputed Data'!M50)/'Imputed Data'!M50</f>
        <v>2.7681660899654004E-2</v>
      </c>
      <c r="N62" s="7">
        <f>('Imputed Data'!N62-'Imputed Data'!N50)/'Imputed Data'!N50</f>
        <v>-1.5042979942693369E-2</v>
      </c>
      <c r="O62" s="7">
        <f>('Imputed Data'!O62-'Imputed Data'!O50)/'Imputed Data'!O50</f>
        <v>1.8957345971564028E-2</v>
      </c>
      <c r="P62" s="7">
        <f>('Imputed Data'!P62-'Imputed Data'!P50)/'Imputed Data'!P50</f>
        <v>4.6918767507002718E-2</v>
      </c>
      <c r="Q62" s="7">
        <f>('Imputed Data'!Q62-'Imputed Data'!Q50)/'Imputed Data'!Q50</f>
        <v>4.5830202854996199E-2</v>
      </c>
      <c r="R62" s="7">
        <f>('Imputed Data'!R62-'Imputed Data'!R50)/'Imputed Data'!R50</f>
        <v>7.5799721835883002E-2</v>
      </c>
      <c r="S62" s="7">
        <f>('Imputed Data'!S62-'Imputed Data'!S50)/'Imputed Data'!S50</f>
        <v>5.0512445095168418E-2</v>
      </c>
      <c r="T62" s="7">
        <f>('Imputed Data'!T62-'Imputed Data'!T50)/'Imputed Data'!T50</f>
        <v>4.0706605222734345E-2</v>
      </c>
      <c r="U62" s="7">
        <f>('Imputed Data'!U62-'Imputed Data'!U50)/'Imputed Data'!U50</f>
        <v>4.9410029498525201E-2</v>
      </c>
      <c r="V62" s="7">
        <f>('Imputed Data'!V62-'Imputed Data'!V50)/'Imputed Data'!V50</f>
        <v>8.3333333333333426E-2</v>
      </c>
      <c r="W62" s="7">
        <f>('Imputed Data'!W62-'Imputed Data'!W50)/'Imputed Data'!W50</f>
        <v>7.728706624605676E-2</v>
      </c>
      <c r="X62" s="7">
        <f>('Imputed Data'!X62-'Imputed Data'!X50)/'Imputed Data'!X50</f>
        <v>4.250386398763524E-2</v>
      </c>
      <c r="Y62" s="7">
        <f>('Imputed Data'!Y62-'Imputed Data'!Y50)/'Imputed Data'!Y50</f>
        <v>4.8780487804878182E-2</v>
      </c>
      <c r="Z62" s="7">
        <f>('Imputed Data'!Z62-'Imputed Data'!Z50)/'Imputed Data'!Z50</f>
        <v>1.9658119658119633E-2</v>
      </c>
      <c r="AA62" s="7">
        <f>('Imputed Data'!AA62-'Imputed Data'!AA50)/'Imputed Data'!AA50</f>
        <v>4.4283413848631124E-2</v>
      </c>
      <c r="AB62" s="7">
        <f>('Imputed Data'!AB62-'Imputed Data'!AB50)/'Imputed Data'!AB50</f>
        <v>4.2760690172543046E-2</v>
      </c>
      <c r="AC62" s="7">
        <f>('Imputed Data'!AC62-'Imputed Data'!AC50)/'Imputed Data'!AC50</f>
        <v>4.6014790468364784E-2</v>
      </c>
      <c r="AD62" s="7">
        <f>('Imputed Data'!AD62-'Imputed Data'!AD50)/'Imputed Data'!AD50</f>
        <v>3.778135048231502E-2</v>
      </c>
      <c r="AE62" s="7">
        <f>('Imputed Data'!AE62-'Imputed Data'!AE50)/'Imputed Data'!AE50</f>
        <v>5.0652340752110468E-2</v>
      </c>
    </row>
    <row r="63" spans="1:31" x14ac:dyDescent="0.25">
      <c r="A63" s="1">
        <f>'Imputed Data'!A63</f>
        <v>43132</v>
      </c>
      <c r="B63" s="1" t="str">
        <f>'Imputed Data'!B63</f>
        <v>Rural+Urban</v>
      </c>
      <c r="C63" s="2">
        <f>'Imputed Data'!C63</f>
        <v>2018</v>
      </c>
      <c r="D63" s="1" t="str">
        <f>'Imputed Data'!D63</f>
        <v>February</v>
      </c>
      <c r="E63" s="7">
        <f>('Imputed Data'!E63-'Imputed Data'!E51)/'Imputed Data'!E51</f>
        <v>2.1036814425244264E-2</v>
      </c>
      <c r="F63" s="7">
        <f>('Imputed Data'!F63-'Imputed Data'!F51)/'Imputed Data'!F51</f>
        <v>3.3861671469740548E-2</v>
      </c>
      <c r="G63" s="7">
        <f>('Imputed Data'!G63-'Imputed Data'!G51)/'Imputed Data'!G51</f>
        <v>8.5073472544470216E-2</v>
      </c>
      <c r="H63" s="7">
        <f>('Imputed Data'!H63-'Imputed Data'!H51)/'Imputed Data'!H51</f>
        <v>3.7555228276877718E-2</v>
      </c>
      <c r="I63" s="7">
        <f>('Imputed Data'!I63-'Imputed Data'!I51)/'Imputed Data'!I51</f>
        <v>1.0067114093959755E-2</v>
      </c>
      <c r="J63" s="7">
        <f>('Imputed Data'!J63-'Imputed Data'!J51)/'Imputed Data'!J51</f>
        <v>5.6171470805617102E-2</v>
      </c>
      <c r="K63" s="7">
        <f>('Imputed Data'!K63-'Imputed Data'!K51)/'Imputed Data'!K51</f>
        <v>0.17573221757322174</v>
      </c>
      <c r="L63" s="7">
        <f>('Imputed Data'!L63-'Imputed Data'!L51)/'Imputed Data'!L51</f>
        <v>-0.17345597897503282</v>
      </c>
      <c r="M63" s="7">
        <f>('Imputed Data'!M63-'Imputed Data'!M51)/'Imputed Data'!M51</f>
        <v>-1.7050298380221897E-3</v>
      </c>
      <c r="N63" s="7">
        <f>('Imputed Data'!N63-'Imputed Data'!N51)/'Imputed Data'!N51</f>
        <v>-1.0093727469358164E-2</v>
      </c>
      <c r="O63" s="7">
        <f>('Imputed Data'!O63-'Imputed Data'!O51)/'Imputed Data'!O51</f>
        <v>1.3396375098502668E-2</v>
      </c>
      <c r="P63" s="7">
        <f>('Imputed Data'!P63-'Imputed Data'!P51)/'Imputed Data'!P51</f>
        <v>4.4692737430167641E-2</v>
      </c>
      <c r="Q63" s="7">
        <f>('Imputed Data'!Q63-'Imputed Data'!Q51)/'Imputed Data'!Q51</f>
        <v>3.4586466165413492E-2</v>
      </c>
      <c r="R63" s="7">
        <f>('Imputed Data'!R63-'Imputed Data'!R51)/'Imputed Data'!R51</f>
        <v>7.2714681440443213E-2</v>
      </c>
      <c r="S63" s="7">
        <f>('Imputed Data'!S63-'Imputed Data'!S51)/'Imputed Data'!S51</f>
        <v>5.1169590643274851E-2</v>
      </c>
      <c r="T63" s="7">
        <f>('Imputed Data'!T63-'Imputed Data'!T51)/'Imputed Data'!T51</f>
        <v>4.0675364543361341E-2</v>
      </c>
      <c r="U63" s="7">
        <f>('Imputed Data'!U63-'Imputed Data'!U51)/'Imputed Data'!U51</f>
        <v>4.9300956585724712E-2</v>
      </c>
      <c r="V63" s="7">
        <f>('Imputed Data'!V63-'Imputed Data'!V51)/'Imputed Data'!V51</f>
        <v>8.2758620689655255E-2</v>
      </c>
      <c r="W63" s="7">
        <f>('Imputed Data'!W63-'Imputed Data'!W51)/'Imputed Data'!W51</f>
        <v>6.8803752931977977E-2</v>
      </c>
      <c r="X63" s="7">
        <f>('Imputed Data'!X63-'Imputed Data'!X51)/'Imputed Data'!X51</f>
        <v>4.2405551272166539E-2</v>
      </c>
      <c r="Y63" s="7">
        <f>('Imputed Data'!Y63-'Imputed Data'!Y51)/'Imputed Data'!Y51</f>
        <v>5.0235478806907423E-2</v>
      </c>
      <c r="Z63" s="7">
        <f>('Imputed Data'!Z63-'Imputed Data'!Z51)/'Imputed Data'!Z51</f>
        <v>2.3850085178875612E-2</v>
      </c>
      <c r="AA63" s="7">
        <f>('Imputed Data'!AA63-'Imputed Data'!AA51)/'Imputed Data'!AA51</f>
        <v>4.2536115569823528E-2</v>
      </c>
      <c r="AB63" s="7">
        <f>('Imputed Data'!AB63-'Imputed Data'!AB51)/'Imputed Data'!AB51</f>
        <v>4.1979010494752576E-2</v>
      </c>
      <c r="AC63" s="7">
        <f>('Imputed Data'!AC63-'Imputed Data'!AC51)/'Imputed Data'!AC51</f>
        <v>4.1598694942903823E-2</v>
      </c>
      <c r="AD63" s="7">
        <f>('Imputed Data'!AD63-'Imputed Data'!AD51)/'Imputed Data'!AD51</f>
        <v>3.8461538461538443E-2</v>
      </c>
      <c r="AE63" s="7">
        <f>('Imputed Data'!AE63-'Imputed Data'!AE51)/'Imputed Data'!AE51</f>
        <v>4.441041347626349E-2</v>
      </c>
    </row>
    <row r="64" spans="1:31" x14ac:dyDescent="0.25">
      <c r="A64" s="1">
        <f>'Imputed Data'!A64</f>
        <v>43160</v>
      </c>
      <c r="B64" s="1" t="str">
        <f>'Imputed Data'!B64</f>
        <v>Rural+Urban</v>
      </c>
      <c r="C64" s="2">
        <f>'Imputed Data'!C64</f>
        <v>2018</v>
      </c>
      <c r="D64" s="1" t="str">
        <f>'Imputed Data'!D64</f>
        <v>March</v>
      </c>
      <c r="E64" s="7">
        <f>('Imputed Data'!E64-'Imputed Data'!E52)/'Imputed Data'!E52</f>
        <v>2.1755438859714756E-2</v>
      </c>
      <c r="F64" s="7">
        <f>('Imputed Data'!F64-'Imputed Data'!F52)/'Imputed Data'!F52</f>
        <v>3.3093525179856073E-2</v>
      </c>
      <c r="G64" s="7">
        <f>('Imputed Data'!G64-'Imputed Data'!G52)/'Imputed Data'!G52</f>
        <v>7.5427682737169655E-2</v>
      </c>
      <c r="H64" s="7">
        <f>('Imputed Data'!H64-'Imputed Data'!H52)/'Imputed Data'!H52</f>
        <v>3.5950110051357127E-2</v>
      </c>
      <c r="I64" s="7">
        <f>('Imputed Data'!I64-'Imputed Data'!I52)/'Imputed Data'!I52</f>
        <v>1.5993265993266042E-2</v>
      </c>
      <c r="J64" s="7">
        <f>('Imputed Data'!J64-'Imputed Data'!J52)/'Imputed Data'!J52</f>
        <v>5.7122198120028757E-2</v>
      </c>
      <c r="K64" s="7">
        <f>('Imputed Data'!K64-'Imputed Data'!K52)/'Imputed Data'!K52</f>
        <v>0.11701244813278004</v>
      </c>
      <c r="L64" s="7">
        <f>('Imputed Data'!L64-'Imputed Data'!L52)/'Imputed Data'!L52</f>
        <v>-0.1341209173036832</v>
      </c>
      <c r="M64" s="7">
        <f>('Imputed Data'!M64-'Imputed Data'!M52)/'Imputed Data'!M52</f>
        <v>-1.6101694915254285E-2</v>
      </c>
      <c r="N64" s="7">
        <f>('Imputed Data'!N64-'Imputed Data'!N52)/'Imputed Data'!N52</f>
        <v>-7.2516316171134377E-4</v>
      </c>
      <c r="O64" s="7">
        <f>('Imputed Data'!O64-'Imputed Data'!O52)/'Imputed Data'!O52</f>
        <v>1.4937106918238926E-2</v>
      </c>
      <c r="P64" s="7">
        <f>('Imputed Data'!P64-'Imputed Data'!P52)/'Imputed Data'!P52</f>
        <v>4.4444444444444481E-2</v>
      </c>
      <c r="Q64" s="7">
        <f>('Imputed Data'!Q64-'Imputed Data'!Q52)/'Imputed Data'!Q52</f>
        <v>3.0803906836964646E-2</v>
      </c>
      <c r="R64" s="7">
        <f>('Imputed Data'!R64-'Imputed Data'!R52)/'Imputed Data'!R52</f>
        <v>7.7188146106133823E-2</v>
      </c>
      <c r="S64" s="7">
        <f>('Imputed Data'!S64-'Imputed Data'!S52)/'Imputed Data'!S52</f>
        <v>5.0983248361252724E-2</v>
      </c>
      <c r="T64" s="7">
        <f>('Imputed Data'!T64-'Imputed Data'!T52)/'Imputed Data'!T52</f>
        <v>4.2879019908116343E-2</v>
      </c>
      <c r="U64" s="7">
        <f>('Imputed Data'!U64-'Imputed Data'!U52)/'Imputed Data'!U52</f>
        <v>4.9120234604105487E-2</v>
      </c>
      <c r="V64" s="7">
        <f>('Imputed Data'!V64-'Imputed Data'!V52)/'Imputed Data'!V52</f>
        <v>8.3142639206712485E-2</v>
      </c>
      <c r="W64" s="7">
        <f>('Imputed Data'!W64-'Imputed Data'!W52)/'Imputed Data'!W52</f>
        <v>5.7319907048799426E-2</v>
      </c>
      <c r="X64" s="7">
        <f>('Imputed Data'!X64-'Imputed Data'!X52)/'Imputed Data'!X52</f>
        <v>4.2275172943889321E-2</v>
      </c>
      <c r="Y64" s="7">
        <f>('Imputed Data'!Y64-'Imputed Data'!Y52)/'Imputed Data'!Y52</f>
        <v>5.0860719874804491E-2</v>
      </c>
      <c r="Z64" s="7">
        <f>('Imputed Data'!Z64-'Imputed Data'!Z52)/'Imputed Data'!Z52</f>
        <v>2.891156462585039E-2</v>
      </c>
      <c r="AA64" s="7">
        <f>('Imputed Data'!AA64-'Imputed Data'!AA52)/'Imputed Data'!AA52</f>
        <v>4.3200000000000044E-2</v>
      </c>
      <c r="AB64" s="7">
        <f>('Imputed Data'!AB64-'Imputed Data'!AB52)/'Imputed Data'!AB52</f>
        <v>4.4843049327354258E-2</v>
      </c>
      <c r="AC64" s="7">
        <f>('Imputed Data'!AC64-'Imputed Data'!AC52)/'Imputed Data'!AC52</f>
        <v>4.5676998368678584E-2</v>
      </c>
      <c r="AD64" s="7">
        <f>('Imputed Data'!AD64-'Imputed Data'!AD52)/'Imputed Data'!AD52</f>
        <v>4.1566746602717961E-2</v>
      </c>
      <c r="AE64" s="7">
        <f>('Imputed Data'!AE64-'Imputed Data'!AE52)/'Imputed Data'!AE52</f>
        <v>4.278074866310156E-2</v>
      </c>
    </row>
    <row r="65" spans="1:31" x14ac:dyDescent="0.25">
      <c r="A65" s="1">
        <f>'Imputed Data'!A65</f>
        <v>43191</v>
      </c>
      <c r="B65" s="1" t="str">
        <f>'Imputed Data'!B65</f>
        <v>Rural+Urban</v>
      </c>
      <c r="C65" s="2">
        <f>'Imputed Data'!C65</f>
        <v>2018</v>
      </c>
      <c r="D65" s="1" t="str">
        <f>'Imputed Data'!D65</f>
        <v>April</v>
      </c>
      <c r="E65" s="7">
        <f>('Imputed Data'!E65-'Imputed Data'!E53)/'Imputed Data'!E53</f>
        <v>2.5563909774436133E-2</v>
      </c>
      <c r="F65" s="7">
        <f>('Imputed Data'!F65-'Imputed Data'!F53)/'Imputed Data'!F53</f>
        <v>3.5868005738880916E-2</v>
      </c>
      <c r="G65" s="7">
        <f>('Imputed Data'!G65-'Imputed Data'!G53)/'Imputed Data'!G53</f>
        <v>6.1855670103092876E-2</v>
      </c>
      <c r="H65" s="7">
        <f>('Imputed Data'!H65-'Imputed Data'!H53)/'Imputed Data'!H53</f>
        <v>3.2069970845481091E-2</v>
      </c>
      <c r="I65" s="7">
        <f>('Imputed Data'!I65-'Imputed Data'!I53)/'Imputed Data'!I53</f>
        <v>2.1959459459459412E-2</v>
      </c>
      <c r="J65" s="7">
        <f>('Imputed Data'!J65-'Imputed Data'!J53)/'Imputed Data'!J53</f>
        <v>9.721229449606858E-2</v>
      </c>
      <c r="K65" s="7">
        <f>('Imputed Data'!K65-'Imputed Data'!K53)/'Imputed Data'!K53</f>
        <v>7.4554294975688717E-2</v>
      </c>
      <c r="L65" s="7">
        <f>('Imputed Data'!L65-'Imputed Data'!L53)/'Imputed Data'!L53</f>
        <v>-0.12349183818310862</v>
      </c>
      <c r="M65" s="7">
        <f>('Imputed Data'!M65-'Imputed Data'!M53)/'Imputed Data'!M53</f>
        <v>-4.0506329113924024E-2</v>
      </c>
      <c r="N65" s="7">
        <f>('Imputed Data'!N65-'Imputed Data'!N53)/'Imputed Data'!N53</f>
        <v>1.245421245421237E-2</v>
      </c>
      <c r="O65" s="7">
        <f>('Imputed Data'!O65-'Imputed Data'!O53)/'Imputed Data'!O53</f>
        <v>1.726844583987432E-2</v>
      </c>
      <c r="P65" s="7">
        <f>('Imputed Data'!P65-'Imputed Data'!P53)/'Imputed Data'!P53</f>
        <v>4.8543689320388356E-2</v>
      </c>
      <c r="Q65" s="7">
        <f>('Imputed Data'!Q65-'Imputed Data'!Q53)/'Imputed Data'!Q53</f>
        <v>2.9962546816479401E-2</v>
      </c>
      <c r="R65" s="7">
        <f>('Imputed Data'!R65-'Imputed Data'!R53)/'Imputed Data'!R53</f>
        <v>7.9092159559834938E-2</v>
      </c>
      <c r="S65" s="7">
        <f>('Imputed Data'!S65-'Imputed Data'!S53)/'Imputed Data'!S53</f>
        <v>5.2898550724637762E-2</v>
      </c>
      <c r="T65" s="7">
        <f>('Imputed Data'!T65-'Imputed Data'!T53)/'Imputed Data'!T53</f>
        <v>4.2715484363081577E-2</v>
      </c>
      <c r="U65" s="7">
        <f>('Imputed Data'!U65-'Imputed Data'!U53)/'Imputed Data'!U53</f>
        <v>5.1094890510948905E-2</v>
      </c>
      <c r="V65" s="7">
        <f>('Imputed Data'!V65-'Imputed Data'!V53)/'Imputed Data'!V53</f>
        <v>8.5041761579347133E-2</v>
      </c>
      <c r="W65" s="7">
        <f>('Imputed Data'!W65-'Imputed Data'!W53)/'Imputed Data'!W53</f>
        <v>5.1617873651771867E-2</v>
      </c>
      <c r="X65" s="7">
        <f>('Imputed Data'!X65-'Imputed Data'!X53)/'Imputed Data'!X53</f>
        <v>4.7546012269938563E-2</v>
      </c>
      <c r="Y65" s="7">
        <f>('Imputed Data'!Y65-'Imputed Data'!Y53)/'Imputed Data'!Y53</f>
        <v>5.5425448868071776E-2</v>
      </c>
      <c r="Z65" s="7">
        <f>('Imputed Data'!Z65-'Imputed Data'!Z53)/'Imputed Data'!Z53</f>
        <v>4.5454545454545553E-2</v>
      </c>
      <c r="AA65" s="7">
        <f>('Imputed Data'!AA65-'Imputed Data'!AA53)/'Imputed Data'!AA53</f>
        <v>4.9560351718625238E-2</v>
      </c>
      <c r="AB65" s="7">
        <f>('Imputed Data'!AB65-'Imputed Data'!AB53)/'Imputed Data'!AB53</f>
        <v>5.1301115241635727E-2</v>
      </c>
      <c r="AC65" s="7">
        <f>('Imputed Data'!AC65-'Imputed Data'!AC53)/'Imputed Data'!AC53</f>
        <v>4.9553208773354951E-2</v>
      </c>
      <c r="AD65" s="7">
        <f>('Imputed Data'!AD65-'Imputed Data'!AD53)/'Imputed Data'!AD53</f>
        <v>4.9560351718625238E-2</v>
      </c>
      <c r="AE65" s="7">
        <f>('Imputed Data'!AE65-'Imputed Data'!AE53)/'Imputed Data'!AE53</f>
        <v>4.5766590389016024E-2</v>
      </c>
    </row>
    <row r="66" spans="1:31" x14ac:dyDescent="0.25">
      <c r="A66" s="1">
        <f>'Imputed Data'!A66</f>
        <v>43221</v>
      </c>
      <c r="B66" s="1" t="str">
        <f>'Imputed Data'!B66</f>
        <v>Rural+Urban</v>
      </c>
      <c r="C66" s="2">
        <f>'Imputed Data'!C66</f>
        <v>2018</v>
      </c>
      <c r="D66" s="1" t="str">
        <f>'Imputed Data'!D66</f>
        <v>May</v>
      </c>
      <c r="E66" s="7">
        <f>('Imputed Data'!E66-'Imputed Data'!E54)/'Imputed Data'!E54</f>
        <v>2.7840481565086443E-2</v>
      </c>
      <c r="F66" s="7">
        <f>('Imputed Data'!F66-'Imputed Data'!F54)/'Imputed Data'!F54</f>
        <v>3.5310734463276837E-2</v>
      </c>
      <c r="G66" s="7">
        <f>('Imputed Data'!G66-'Imputed Data'!G54)/'Imputed Data'!G54</f>
        <v>5.779889152810766E-2</v>
      </c>
      <c r="H66" s="7">
        <f>('Imputed Data'!H66-'Imputed Data'!H54)/'Imputed Data'!H54</f>
        <v>3.1953522149600622E-2</v>
      </c>
      <c r="I66" s="7">
        <f>('Imputed Data'!I66-'Imputed Data'!I54)/'Imputed Data'!I54</f>
        <v>2.4555461473327739E-2</v>
      </c>
      <c r="J66" s="7">
        <f>('Imputed Data'!J66-'Imputed Data'!J54)/'Imputed Data'!J54</f>
        <v>0.12110224800580122</v>
      </c>
      <c r="K66" s="7">
        <f>('Imputed Data'!K66-'Imputed Data'!K54)/'Imputed Data'!K54</f>
        <v>7.9617834394904469E-2</v>
      </c>
      <c r="L66" s="7">
        <f>('Imputed Data'!L66-'Imputed Data'!L54)/'Imputed Data'!L54</f>
        <v>-0.11569052783803335</v>
      </c>
      <c r="M66" s="7">
        <f>('Imputed Data'!M66-'Imputed Data'!M54)/'Imputed Data'!M54</f>
        <v>-8.2077051926298245E-2</v>
      </c>
      <c r="N66" s="7">
        <f>('Imputed Data'!N66-'Imputed Data'!N54)/'Imputed Data'!N54</f>
        <v>1.5441176470588194E-2</v>
      </c>
      <c r="O66" s="7">
        <f>('Imputed Data'!O66-'Imputed Data'!O54)/'Imputed Data'!O54</f>
        <v>1.8025078369906047E-2</v>
      </c>
      <c r="P66" s="7">
        <f>('Imputed Data'!P66-'Imputed Data'!P54)/'Imputed Data'!P54</f>
        <v>4.9826989619377086E-2</v>
      </c>
      <c r="Q66" s="7">
        <f>('Imputed Data'!Q66-'Imputed Data'!Q54)/'Imputed Data'!Q54</f>
        <v>3.2909498878085308E-2</v>
      </c>
      <c r="R66" s="7">
        <f>('Imputed Data'!R66-'Imputed Data'!R54)/'Imputed Data'!R54</f>
        <v>8.0027359781121868E-2</v>
      </c>
      <c r="S66" s="7">
        <f>('Imputed Data'!S66-'Imputed Data'!S54)/'Imputed Data'!S54</f>
        <v>5.6439942112879969E-2</v>
      </c>
      <c r="T66" s="7">
        <f>('Imputed Data'!T66-'Imputed Data'!T54)/'Imputed Data'!T54</f>
        <v>4.5662100456621002E-2</v>
      </c>
      <c r="U66" s="7">
        <f>('Imputed Data'!U66-'Imputed Data'!U54)/'Imputed Data'!U54</f>
        <v>5.4664723032069977E-2</v>
      </c>
      <c r="V66" s="7">
        <f>('Imputed Data'!V66-'Imputed Data'!V54)/'Imputed Data'!V54</f>
        <v>8.402725208175621E-2</v>
      </c>
      <c r="W66" s="7">
        <f>('Imputed Data'!W66-'Imputed Data'!W54)/'Imputed Data'!W54</f>
        <v>5.7959814528593508E-2</v>
      </c>
      <c r="X66" s="7">
        <f>('Imputed Data'!X66-'Imputed Data'!X54)/'Imputed Data'!X54</f>
        <v>4.9656226126814362E-2</v>
      </c>
      <c r="Y66" s="7">
        <f>('Imputed Data'!Y66-'Imputed Data'!Y54)/'Imputed Data'!Y54</f>
        <v>5.9190031152647926E-2</v>
      </c>
      <c r="Z66" s="7">
        <f>('Imputed Data'!Z66-'Imputed Data'!Z54)/'Imputed Data'!Z54</f>
        <v>5.3127677806341068E-2</v>
      </c>
      <c r="AA66" s="7">
        <f>('Imputed Data'!AA66-'Imputed Data'!AA54)/'Imputed Data'!AA54</f>
        <v>4.8528241845664344E-2</v>
      </c>
      <c r="AB66" s="7">
        <f>('Imputed Data'!AB66-'Imputed Data'!AB54)/'Imputed Data'!AB54</f>
        <v>5.4154302670623017E-2</v>
      </c>
      <c r="AC66" s="7">
        <f>('Imputed Data'!AC66-'Imputed Data'!AC54)/'Imputed Data'!AC54</f>
        <v>5.6097560975609799E-2</v>
      </c>
      <c r="AD66" s="7">
        <f>('Imputed Data'!AD66-'Imputed Data'!AD54)/'Imputed Data'!AD54</f>
        <v>5.4269752593774916E-2</v>
      </c>
      <c r="AE66" s="7">
        <f>('Imputed Data'!AE66-'Imputed Data'!AE54)/'Imputed Data'!AE54</f>
        <v>4.8706240487062444E-2</v>
      </c>
    </row>
    <row r="67" spans="1:31" x14ac:dyDescent="0.25">
      <c r="A67" s="1">
        <f>'Imputed Data'!A67</f>
        <v>43252</v>
      </c>
      <c r="B67" s="1" t="str">
        <f>'Imputed Data'!B67</f>
        <v>Rural+Urban</v>
      </c>
      <c r="C67" s="2">
        <f>'Imputed Data'!C67</f>
        <v>2018</v>
      </c>
      <c r="D67" s="1" t="str">
        <f>'Imputed Data'!D67</f>
        <v>June</v>
      </c>
      <c r="E67" s="7">
        <f>('Imputed Data'!E67-'Imputed Data'!E55)/'Imputed Data'!E55</f>
        <v>2.7006751687921937E-2</v>
      </c>
      <c r="F67" s="7">
        <f>('Imputed Data'!F67-'Imputed Data'!F55)/'Imputed Data'!F55</f>
        <v>2.1993127147766245E-2</v>
      </c>
      <c r="G67" s="7">
        <f>('Imputed Data'!G67-'Imputed Data'!G55)/'Imputed Data'!G55</f>
        <v>5.8548009367681501E-2</v>
      </c>
      <c r="H67" s="7">
        <f>('Imputed Data'!H67-'Imputed Data'!H55)/'Imputed Data'!H55</f>
        <v>3.0412744388124673E-2</v>
      </c>
      <c r="I67" s="7">
        <f>('Imputed Data'!I67-'Imputed Data'!I55)/'Imputed Data'!I55</f>
        <v>2.6226734348561712E-2</v>
      </c>
      <c r="J67" s="7">
        <f>('Imputed Data'!J67-'Imputed Data'!J55)/'Imputed Data'!J55</f>
        <v>0.10057471264367816</v>
      </c>
      <c r="K67" s="7">
        <f>('Imputed Data'!K67-'Imputed Data'!K55)/'Imputed Data'!K55</f>
        <v>7.8019504876218879E-2</v>
      </c>
      <c r="L67" s="7">
        <f>('Imputed Data'!L67-'Imputed Data'!L55)/'Imputed Data'!L55</f>
        <v>-0.10866372980910415</v>
      </c>
      <c r="M67" s="7">
        <f>('Imputed Data'!M67-'Imputed Data'!M55)/'Imputed Data'!M55</f>
        <v>-7.1070234113712383E-2</v>
      </c>
      <c r="N67" s="7">
        <f>('Imputed Data'!N67-'Imputed Data'!N55)/'Imputed Data'!N55</f>
        <v>2.2912047302291162E-2</v>
      </c>
      <c r="O67" s="7">
        <f>('Imputed Data'!O67-'Imputed Data'!O55)/'Imputed Data'!O55</f>
        <v>1.9561815336463336E-2</v>
      </c>
      <c r="P67" s="7">
        <f>('Imputed Data'!P67-'Imputed Data'!P55)/'Imputed Data'!P55</f>
        <v>4.7619047619047658E-2</v>
      </c>
      <c r="Q67" s="7">
        <f>('Imputed Data'!Q67-'Imputed Data'!Q55)/'Imputed Data'!Q55</f>
        <v>3.1065088757396577E-2</v>
      </c>
      <c r="R67" s="7">
        <f>('Imputed Data'!R67-'Imputed Data'!R55)/'Imputed Data'!R55</f>
        <v>8.0546075085324312E-2</v>
      </c>
      <c r="S67" s="7">
        <f>('Imputed Data'!S67-'Imputed Data'!S55)/'Imputed Data'!S55</f>
        <v>5.703971119133578E-2</v>
      </c>
      <c r="T67" s="7">
        <f>('Imputed Data'!T67-'Imputed Data'!T55)/'Imputed Data'!T55</f>
        <v>4.8595292331055473E-2</v>
      </c>
      <c r="U67" s="7">
        <f>('Imputed Data'!U67-'Imputed Data'!U55)/'Imputed Data'!U55</f>
        <v>5.5999999999999918E-2</v>
      </c>
      <c r="V67" s="7">
        <f>('Imputed Data'!V67-'Imputed Data'!V55)/'Imputed Data'!V55</f>
        <v>8.4474885844748812E-2</v>
      </c>
      <c r="W67" s="7">
        <f>('Imputed Data'!W67-'Imputed Data'!W55)/'Imputed Data'!W55</f>
        <v>7.2204968944099238E-2</v>
      </c>
      <c r="X67" s="7">
        <f>('Imputed Data'!X67-'Imputed Data'!X55)/'Imputed Data'!X55</f>
        <v>5.1067073170731843E-2</v>
      </c>
      <c r="Y67" s="7">
        <f>('Imputed Data'!Y67-'Imputed Data'!Y55)/'Imputed Data'!Y55</f>
        <v>5.992217898832676E-2</v>
      </c>
      <c r="Z67" s="7">
        <f>('Imputed Data'!Z67-'Imputed Data'!Z55)/'Imputed Data'!Z55</f>
        <v>6.1802575107296163E-2</v>
      </c>
      <c r="AA67" s="7">
        <f>('Imputed Data'!AA67-'Imputed Data'!AA55)/'Imputed Data'!AA55</f>
        <v>5.3216838760921273E-2</v>
      </c>
      <c r="AB67" s="7">
        <f>('Imputed Data'!AB67-'Imputed Data'!AB55)/'Imputed Data'!AB55</f>
        <v>5.4652880354505211E-2</v>
      </c>
      <c r="AC67" s="7">
        <f>('Imputed Data'!AC67-'Imputed Data'!AC55)/'Imputed Data'!AC55</f>
        <v>5.4294975688816763E-2</v>
      </c>
      <c r="AD67" s="7">
        <f>('Imputed Data'!AD67-'Imputed Data'!AD55)/'Imputed Data'!AD55</f>
        <v>5.6573705179282827E-2</v>
      </c>
      <c r="AE67" s="7">
        <f>('Imputed Data'!AE67-'Imputed Data'!AE55)/'Imputed Data'!AE55</f>
        <v>4.924242424242424E-2</v>
      </c>
    </row>
    <row r="68" spans="1:31" x14ac:dyDescent="0.25">
      <c r="A68" s="1">
        <f>'Imputed Data'!A68</f>
        <v>43282</v>
      </c>
      <c r="B68" s="1" t="str">
        <f>'Imputed Data'!B68</f>
        <v>Rural+Urban</v>
      </c>
      <c r="C68" s="2">
        <f>'Imputed Data'!C68</f>
        <v>2018</v>
      </c>
      <c r="D68" s="1" t="str">
        <f>'Imputed Data'!D68</f>
        <v>July</v>
      </c>
      <c r="E68" s="7">
        <f>('Imputed Data'!E68-'Imputed Data'!E56)/'Imputed Data'!E56</f>
        <v>2.9191616766467109E-2</v>
      </c>
      <c r="F68" s="7">
        <f>('Imputed Data'!F68-'Imputed Data'!F56)/'Imputed Data'!F56</f>
        <v>2.3335621139327425E-2</v>
      </c>
      <c r="G68" s="7">
        <f>('Imputed Data'!G68-'Imputed Data'!G56)/'Imputed Data'!G56</f>
        <v>7.4074074074074028E-2</v>
      </c>
      <c r="H68" s="7">
        <f>('Imputed Data'!H68-'Imputed Data'!H56)/'Imputed Data'!H56</f>
        <v>2.8880866425992781E-2</v>
      </c>
      <c r="I68" s="7">
        <f>('Imputed Data'!I68-'Imputed Data'!I56)/'Imputed Data'!I56</f>
        <v>2.7942421676545398E-2</v>
      </c>
      <c r="J68" s="7">
        <f>('Imputed Data'!J68-'Imputed Data'!J56)/'Imputed Data'!J56</f>
        <v>6.9111424541607777E-2</v>
      </c>
      <c r="K68" s="7">
        <f>('Imputed Data'!K68-'Imputed Data'!K56)/'Imputed Data'!K56</f>
        <v>-2.2570532915360465E-2</v>
      </c>
      <c r="L68" s="7">
        <f>('Imputed Data'!L68-'Imputed Data'!L56)/'Imputed Data'!L56</f>
        <v>-8.9071856287425089E-2</v>
      </c>
      <c r="M68" s="7">
        <f>('Imputed Data'!M68-'Imputed Data'!M56)/'Imputed Data'!M56</f>
        <v>-5.8091286307053944E-2</v>
      </c>
      <c r="N68" s="7">
        <f>('Imputed Data'!N68-'Imputed Data'!N56)/'Imputed Data'!N56</f>
        <v>2.7366863905325573E-2</v>
      </c>
      <c r="O68" s="7">
        <f>('Imputed Data'!O68-'Imputed Data'!O56)/'Imputed Data'!O56</f>
        <v>1.4007782101167404E-2</v>
      </c>
      <c r="P68" s="7">
        <f>('Imputed Data'!P68-'Imputed Data'!P56)/'Imputed Data'!P56</f>
        <v>4.4581618655692726E-2</v>
      </c>
      <c r="Q68" s="7">
        <f>('Imputed Data'!Q68-'Imputed Data'!Q56)/'Imputed Data'!Q56</f>
        <v>1.7266187050359753E-2</v>
      </c>
      <c r="R68" s="7">
        <f>('Imputed Data'!R68-'Imputed Data'!R56)/'Imputed Data'!R56</f>
        <v>6.2753036437247042E-2</v>
      </c>
      <c r="S68" s="7">
        <f>('Imputed Data'!S68-'Imputed Data'!S56)/'Imputed Data'!S56</f>
        <v>5.3840631730078962E-2</v>
      </c>
      <c r="T68" s="7">
        <f>('Imputed Data'!T68-'Imputed Data'!T56)/'Imputed Data'!T56</f>
        <v>4.769114307342931E-2</v>
      </c>
      <c r="U68" s="7">
        <f>('Imputed Data'!U68-'Imputed Data'!U56)/'Imputed Data'!U56</f>
        <v>5.2783803326102545E-2</v>
      </c>
      <c r="V68" s="7">
        <f>('Imputed Data'!V68-'Imputed Data'!V56)/'Imputed Data'!V56</f>
        <v>8.2956259426847659E-2</v>
      </c>
      <c r="W68" s="7">
        <f>('Imputed Data'!W68-'Imputed Data'!W56)/'Imputed Data'!W56</f>
        <v>7.9598145285934951E-2</v>
      </c>
      <c r="X68" s="7">
        <f>('Imputed Data'!X68-'Imputed Data'!X56)/'Imputed Data'!X56</f>
        <v>5.0796057619408558E-2</v>
      </c>
      <c r="Y68" s="7">
        <f>('Imputed Data'!Y68-'Imputed Data'!Y56)/'Imputed Data'!Y56</f>
        <v>5.8732612055641377E-2</v>
      </c>
      <c r="Z68" s="7">
        <f>('Imputed Data'!Z68-'Imputed Data'!Z56)/'Imputed Data'!Z56</f>
        <v>6.5517241379310295E-2</v>
      </c>
      <c r="AA68" s="7">
        <f>('Imputed Data'!AA68-'Imputed Data'!AA56)/'Imputed Data'!AA56</f>
        <v>5.134281200631912E-2</v>
      </c>
      <c r="AB68" s="7">
        <f>('Imputed Data'!AB68-'Imputed Data'!AB56)/'Imputed Data'!AB56</f>
        <v>5.7748538011695737E-2</v>
      </c>
      <c r="AC68" s="7">
        <f>('Imputed Data'!AC68-'Imputed Data'!AC56)/'Imputed Data'!AC56</f>
        <v>5.2588996763754045E-2</v>
      </c>
      <c r="AD68" s="7">
        <f>('Imputed Data'!AD68-'Imputed Data'!AD56)/'Imputed Data'!AD56</f>
        <v>5.7982525814138069E-2</v>
      </c>
      <c r="AE68" s="7">
        <f>('Imputed Data'!AE68-'Imputed Data'!AE56)/'Imputed Data'!AE56</f>
        <v>4.172876304023862E-2</v>
      </c>
    </row>
    <row r="69" spans="1:31" x14ac:dyDescent="0.25">
      <c r="A69" s="1">
        <f>'Imputed Data'!A69</f>
        <v>43313</v>
      </c>
      <c r="B69" s="1" t="str">
        <f>'Imputed Data'!B69</f>
        <v>Rural+Urban</v>
      </c>
      <c r="C69" s="2">
        <f>'Imputed Data'!C69</f>
        <v>2018</v>
      </c>
      <c r="D69" s="1" t="str">
        <f>'Imputed Data'!D69</f>
        <v>August</v>
      </c>
      <c r="E69" s="7">
        <f>('Imputed Data'!E69-'Imputed Data'!E57)/'Imputed Data'!E57</f>
        <v>2.9784065524944153E-2</v>
      </c>
      <c r="F69" s="7">
        <f>('Imputed Data'!F69-'Imputed Data'!F57)/'Imputed Data'!F57</f>
        <v>3.207810320781028E-2</v>
      </c>
      <c r="G69" s="7">
        <f>('Imputed Data'!G69-'Imputed Data'!G57)/'Imputed Data'!G57</f>
        <v>6.8058778035576042E-2</v>
      </c>
      <c r="H69" s="7">
        <f>('Imputed Data'!H69-'Imputed Data'!H57)/'Imputed Data'!H57</f>
        <v>2.5899280575539526E-2</v>
      </c>
      <c r="I69" s="7">
        <f>('Imputed Data'!I69-'Imputed Data'!I57)/'Imputed Data'!I57</f>
        <v>3.4716342082980599E-2</v>
      </c>
      <c r="J69" s="7">
        <f>('Imputed Data'!J69-'Imputed Data'!J57)/'Imputed Data'!J57</f>
        <v>3.5051546391752536E-2</v>
      </c>
      <c r="K69" s="7">
        <f>('Imputed Data'!K69-'Imputed Data'!K57)/'Imputed Data'!K57</f>
        <v>-7.1174377224199295E-2</v>
      </c>
      <c r="L69" s="7">
        <f>('Imputed Data'!L69-'Imputed Data'!L57)/'Imputed Data'!L57</f>
        <v>-7.7618688771665292E-2</v>
      </c>
      <c r="M69" s="7">
        <f>('Imputed Data'!M69-'Imputed Data'!M57)/'Imputed Data'!M57</f>
        <v>-5.3630363036303627E-2</v>
      </c>
      <c r="N69" s="7">
        <f>('Imputed Data'!N69-'Imputed Data'!N57)/'Imputed Data'!N57</f>
        <v>2.8023598820059083E-2</v>
      </c>
      <c r="O69" s="7">
        <f>('Imputed Data'!O69-'Imputed Data'!O57)/'Imputed Data'!O57</f>
        <v>1.8648018648018693E-2</v>
      </c>
      <c r="P69" s="7">
        <f>('Imputed Data'!P69-'Imputed Data'!P57)/'Imputed Data'!P57</f>
        <v>4.2234332425068036E-2</v>
      </c>
      <c r="Q69" s="7">
        <f>('Imputed Data'!Q69-'Imputed Data'!Q57)/'Imputed Data'!Q57</f>
        <v>7.8236130867709412E-3</v>
      </c>
      <c r="R69" s="7">
        <f>('Imputed Data'!R69-'Imputed Data'!R57)/'Imputed Data'!R57</f>
        <v>5.4072096128170856E-2</v>
      </c>
      <c r="S69" s="7">
        <f>('Imputed Data'!S69-'Imputed Data'!S57)/'Imputed Data'!S57</f>
        <v>4.989308624376336E-2</v>
      </c>
      <c r="T69" s="7">
        <f>('Imputed Data'!T69-'Imputed Data'!T57)/'Imputed Data'!T57</f>
        <v>4.3609022556391062E-2</v>
      </c>
      <c r="U69" s="7">
        <f>('Imputed Data'!U69-'Imputed Data'!U57)/'Imputed Data'!U57</f>
        <v>4.8815506101938133E-2</v>
      </c>
      <c r="V69" s="7">
        <f>('Imputed Data'!V69-'Imputed Data'!V57)/'Imputed Data'!V57</f>
        <v>7.5892857142857054E-2</v>
      </c>
      <c r="W69" s="7">
        <f>('Imputed Data'!W69-'Imputed Data'!W57)/'Imputed Data'!W57</f>
        <v>8.5516178736517665E-2</v>
      </c>
      <c r="X69" s="7">
        <f>('Imputed Data'!X69-'Imputed Data'!X57)/'Imputed Data'!X57</f>
        <v>4.9698795180722843E-2</v>
      </c>
      <c r="Y69" s="7">
        <f>('Imputed Data'!Y69-'Imputed Data'!Y57)/'Imputed Data'!Y57</f>
        <v>5.7603686635944708E-2</v>
      </c>
      <c r="Z69" s="7">
        <f>('Imputed Data'!Z69-'Imputed Data'!Z57)/'Imputed Data'!Z57</f>
        <v>5.9676044330775793E-2</v>
      </c>
      <c r="AA69" s="7">
        <f>('Imputed Data'!AA69-'Imputed Data'!AA57)/'Imputed Data'!AA57</f>
        <v>4.948939512961506E-2</v>
      </c>
      <c r="AB69" s="7">
        <f>('Imputed Data'!AB69-'Imputed Data'!AB57)/'Imputed Data'!AB57</f>
        <v>6.1046511627907023E-2</v>
      </c>
      <c r="AC69" s="7">
        <f>('Imputed Data'!AC69-'Imputed Data'!AC57)/'Imputed Data'!AC57</f>
        <v>4.4979919678714814E-2</v>
      </c>
      <c r="AD69" s="7">
        <f>('Imputed Data'!AD69-'Imputed Data'!AD57)/'Imputed Data'!AD57</f>
        <v>5.5993690851735084E-2</v>
      </c>
      <c r="AE69" s="7">
        <f>('Imputed Data'!AE69-'Imputed Data'!AE57)/'Imputed Data'!AE57</f>
        <v>3.6927621861152143E-2</v>
      </c>
    </row>
    <row r="70" spans="1:31" x14ac:dyDescent="0.25">
      <c r="A70" s="1">
        <f>'Imputed Data'!A70</f>
        <v>43344</v>
      </c>
      <c r="B70" s="1" t="str">
        <f>'Imputed Data'!B70</f>
        <v>Rural+Urban</v>
      </c>
      <c r="C70" s="2">
        <f>'Imputed Data'!C70</f>
        <v>2018</v>
      </c>
      <c r="D70" s="1" t="str">
        <f>'Imputed Data'!D70</f>
        <v>September</v>
      </c>
      <c r="E70" s="7">
        <f>('Imputed Data'!E70-'Imputed Data'!E58)/'Imputed Data'!E58</f>
        <v>2.8953229398663741E-2</v>
      </c>
      <c r="F70" s="7">
        <f>('Imputed Data'!F70-'Imputed Data'!F58)/'Imputed Data'!F58</f>
        <v>2.387640449438206E-2</v>
      </c>
      <c r="G70" s="7">
        <f>('Imputed Data'!G70-'Imputed Data'!G58)/'Imputed Data'!G58</f>
        <v>3.7634408602150587E-2</v>
      </c>
      <c r="H70" s="7">
        <f>('Imputed Data'!H70-'Imputed Data'!H58)/'Imputed Data'!H58</f>
        <v>2.3638968481375439E-2</v>
      </c>
      <c r="I70" s="7">
        <f>('Imputed Data'!I70-'Imputed Data'!I58)/'Imputed Data'!I58</f>
        <v>3.1249999999999903E-2</v>
      </c>
      <c r="J70" s="7">
        <f>('Imputed Data'!J70-'Imputed Data'!J58)/'Imputed Data'!J58</f>
        <v>1.6783216783216821E-2</v>
      </c>
      <c r="K70" s="7">
        <f>('Imputed Data'!K70-'Imputed Data'!K58)/'Imputed Data'!K58</f>
        <v>-4.2145593869731768E-2</v>
      </c>
      <c r="L70" s="7">
        <f>('Imputed Data'!L70-'Imputed Data'!L58)/'Imputed Data'!L58</f>
        <v>-8.6531226486079749E-2</v>
      </c>
      <c r="M70" s="7">
        <f>('Imputed Data'!M70-'Imputed Data'!M58)/'Imputed Data'!M58</f>
        <v>-6.4197530864197508E-2</v>
      </c>
      <c r="N70" s="7">
        <f>('Imputed Data'!N70-'Imputed Data'!N58)/'Imputed Data'!N58</f>
        <v>2.87610619469027E-2</v>
      </c>
      <c r="O70" s="7">
        <f>('Imputed Data'!O70-'Imputed Data'!O58)/'Imputed Data'!O58</f>
        <v>1.5527950310559004E-2</v>
      </c>
      <c r="P70" s="7">
        <f>('Imputed Data'!P70-'Imputed Data'!P58)/'Imputed Data'!P58</f>
        <v>4.412763068567549E-2</v>
      </c>
      <c r="Q70" s="7">
        <f>('Imputed Data'!Q70-'Imputed Data'!Q58)/'Imputed Data'!Q58</f>
        <v>1.0071942446043206E-2</v>
      </c>
      <c r="R70" s="7">
        <f>('Imputed Data'!R70-'Imputed Data'!R58)/'Imputed Data'!R58</f>
        <v>5.5702917771883131E-2</v>
      </c>
      <c r="S70" s="7">
        <f>('Imputed Data'!S70-'Imputed Data'!S58)/'Imputed Data'!S58</f>
        <v>4.6775336640680329E-2</v>
      </c>
      <c r="T70" s="7">
        <f>('Imputed Data'!T70-'Imputed Data'!T58)/'Imputed Data'!T58</f>
        <v>4.272863568215883E-2</v>
      </c>
      <c r="U70" s="7">
        <f>('Imputed Data'!U70-'Imputed Data'!U58)/'Imputed Data'!U58</f>
        <v>4.642857142857143E-2</v>
      </c>
      <c r="V70" s="7">
        <f>('Imputed Data'!V70-'Imputed Data'!V58)/'Imputed Data'!V58</f>
        <v>7.0744288872513064E-2</v>
      </c>
      <c r="W70" s="7">
        <f>('Imputed Data'!W70-'Imputed Data'!W58)/'Imputed Data'!W58</f>
        <v>8.6259541984732915E-2</v>
      </c>
      <c r="X70" s="7">
        <f>('Imputed Data'!X70-'Imputed Data'!X58)/'Imputed Data'!X58</f>
        <v>4.8012003000750016E-2</v>
      </c>
      <c r="Y70" s="7">
        <f>('Imputed Data'!Y70-'Imputed Data'!Y58)/'Imputed Data'!Y58</f>
        <v>5.9724349157733628E-2</v>
      </c>
      <c r="Z70" s="7">
        <f>('Imputed Data'!Z70-'Imputed Data'!Z58)/'Imputed Data'!Z58</f>
        <v>6.5088757396449731E-2</v>
      </c>
      <c r="AA70" s="7">
        <f>('Imputed Data'!AA70-'Imputed Data'!AA58)/'Imputed Data'!AA58</f>
        <v>5.1602814698983535E-2</v>
      </c>
      <c r="AB70" s="7">
        <f>('Imputed Data'!AB70-'Imputed Data'!AB58)/'Imputed Data'!AB58</f>
        <v>6.4046579330422002E-2</v>
      </c>
      <c r="AC70" s="7">
        <f>('Imputed Data'!AC70-'Imputed Data'!AC58)/'Imputed Data'!AC58</f>
        <v>4.1368337311058094E-2</v>
      </c>
      <c r="AD70" s="7">
        <f>('Imputed Data'!AD70-'Imputed Data'!AD58)/'Imputed Data'!AD58</f>
        <v>5.6470588235294029E-2</v>
      </c>
      <c r="AE70" s="7">
        <f>('Imputed Data'!AE70-'Imputed Data'!AE58)/'Imputed Data'!AE58</f>
        <v>3.6982248520710061E-2</v>
      </c>
    </row>
    <row r="71" spans="1:31" x14ac:dyDescent="0.25">
      <c r="A71" s="1">
        <f>'Imputed Data'!A71</f>
        <v>43374</v>
      </c>
      <c r="B71" s="1" t="str">
        <f>'Imputed Data'!B71</f>
        <v>Rural+Urban</v>
      </c>
      <c r="C71" s="2">
        <f>'Imputed Data'!C71</f>
        <v>2018</v>
      </c>
      <c r="D71" s="1" t="str">
        <f>'Imputed Data'!D71</f>
        <v>October</v>
      </c>
      <c r="E71" s="7">
        <f>('Imputed Data'!E71-'Imputed Data'!E59)/'Imputed Data'!E59</f>
        <v>1.5521064301552064E-2</v>
      </c>
      <c r="F71" s="7">
        <f>('Imputed Data'!F71-'Imputed Data'!F59)/'Imputed Data'!F59</f>
        <v>5.1336146272855217E-2</v>
      </c>
      <c r="G71" s="7">
        <f>('Imputed Data'!G71-'Imputed Data'!G59)/'Imputed Data'!G59</f>
        <v>4.649390243902457E-2</v>
      </c>
      <c r="H71" s="7">
        <f>('Imputed Data'!H71-'Imputed Data'!H59)/'Imputed Data'!H59</f>
        <v>9.2460881934566964E-3</v>
      </c>
      <c r="I71" s="7">
        <f>('Imputed Data'!I71-'Imputed Data'!I59)/'Imputed Data'!I59</f>
        <v>1.7647058823529363E-2</v>
      </c>
      <c r="J71" s="7">
        <f>('Imputed Data'!J71-'Imputed Data'!J59)/'Imputed Data'!J59</f>
        <v>7.0671378091872791E-3</v>
      </c>
      <c r="K71" s="7">
        <f>('Imputed Data'!K71-'Imputed Data'!K59)/'Imputed Data'!K59</f>
        <v>-9.7785977859778633E-2</v>
      </c>
      <c r="L71" s="7">
        <f>('Imputed Data'!L71-'Imputed Data'!L59)/'Imputed Data'!L59</f>
        <v>-9.9773242630385603E-2</v>
      </c>
      <c r="M71" s="7">
        <f>('Imputed Data'!M71-'Imputed Data'!M59)/'Imputed Data'!M59</f>
        <v>-8.128078817733983E-2</v>
      </c>
      <c r="N71" s="7">
        <f>('Imputed Data'!N71-'Imputed Data'!N59)/'Imputed Data'!N59</f>
        <v>3.4482758620689571E-2</v>
      </c>
      <c r="O71" s="7">
        <f>('Imputed Data'!O71-'Imputed Data'!O59)/'Imputed Data'!O59</f>
        <v>3.8073038073038121E-2</v>
      </c>
      <c r="P71" s="7">
        <f>('Imputed Data'!P71-'Imputed Data'!P59)/'Imputed Data'!P59</f>
        <v>4.3214044564483495E-2</v>
      </c>
      <c r="Q71" s="7">
        <f>('Imputed Data'!Q71-'Imputed Data'!Q59)/'Imputed Data'!Q59</f>
        <v>-2.8551034975018252E-3</v>
      </c>
      <c r="R71" s="7">
        <f>('Imputed Data'!R71-'Imputed Data'!R59)/'Imputed Data'!R59</f>
        <v>7.255936675461741E-2</v>
      </c>
      <c r="S71" s="7">
        <f>('Imputed Data'!S71-'Imputed Data'!S59)/'Imputed Data'!S59</f>
        <v>4.2253521126760563E-2</v>
      </c>
      <c r="T71" s="7">
        <f>('Imputed Data'!T71-'Imputed Data'!T59)/'Imputed Data'!T59</f>
        <v>3.8031319910514498E-2</v>
      </c>
      <c r="U71" s="7">
        <f>('Imputed Data'!U71-'Imputed Data'!U59)/'Imputed Data'!U59</f>
        <v>4.261363636363636E-2</v>
      </c>
      <c r="V71" s="7">
        <f>('Imputed Data'!V71-'Imputed Data'!V59)/'Imputed Data'!V59</f>
        <v>6.9919883466860844E-2</v>
      </c>
      <c r="W71" s="7">
        <f>('Imputed Data'!W71-'Imputed Data'!W59)/'Imputed Data'!W59</f>
        <v>9.9092284417549345E-2</v>
      </c>
      <c r="X71" s="7">
        <f>('Imputed Data'!X71-'Imputed Data'!X59)/'Imputed Data'!X59</f>
        <v>6.4371257485029906E-2</v>
      </c>
      <c r="Y71" s="7">
        <f>('Imputed Data'!Y71-'Imputed Data'!Y59)/'Imputed Data'!Y59</f>
        <v>8.2254379284082121E-2</v>
      </c>
      <c r="Z71" s="7">
        <f>('Imputed Data'!Z71-'Imputed Data'!Z59)/'Imputed Data'!Z59</f>
        <v>6.5365025466893059E-2</v>
      </c>
      <c r="AA71" s="7">
        <f>('Imputed Data'!AA71-'Imputed Data'!AA59)/'Imputed Data'!AA59</f>
        <v>6.3084112149532662E-2</v>
      </c>
      <c r="AB71" s="7">
        <f>('Imputed Data'!AB71-'Imputed Data'!AB59)/'Imputed Data'!AB59</f>
        <v>7.1791153009427164E-2</v>
      </c>
      <c r="AC71" s="7">
        <f>('Imputed Data'!AC71-'Imputed Data'!AC59)/'Imputed Data'!AC59</f>
        <v>4.5958795562599027E-2</v>
      </c>
      <c r="AD71" s="7">
        <f>('Imputed Data'!AD71-'Imputed Data'!AD59)/'Imputed Data'!AD59</f>
        <v>6.7345340642130061E-2</v>
      </c>
      <c r="AE71" s="7">
        <f>('Imputed Data'!AE71-'Imputed Data'!AE59)/'Imputed Data'!AE59</f>
        <v>3.4533431300514457E-2</v>
      </c>
    </row>
    <row r="72" spans="1:31" x14ac:dyDescent="0.25">
      <c r="A72" s="1">
        <f>'Imputed Data'!A72</f>
        <v>43405</v>
      </c>
      <c r="B72" s="1" t="str">
        <f>'Imputed Data'!B72</f>
        <v>Rural+Urban</v>
      </c>
      <c r="C72" s="2">
        <f>'Imputed Data'!C72</f>
        <v>2018</v>
      </c>
      <c r="D72" s="1" t="str">
        <f>'Imputed Data'!D72</f>
        <v>November</v>
      </c>
      <c r="E72" s="7">
        <f>('Imputed Data'!E72-'Imputed Data'!E60)/'Imputed Data'!E60</f>
        <v>1.2527634487840953E-2</v>
      </c>
      <c r="F72" s="7">
        <f>('Imputed Data'!F72-'Imputed Data'!F60)/'Imputed Data'!F60</f>
        <v>4.7752808988763926E-2</v>
      </c>
      <c r="G72" s="7">
        <f>('Imputed Data'!G72-'Imputed Data'!G60)/'Imputed Data'!G60</f>
        <v>-4.0587823652904205E-2</v>
      </c>
      <c r="H72" s="7">
        <f>('Imputed Data'!H72-'Imputed Data'!H60)/'Imputed Data'!H60</f>
        <v>7.102272727272727E-3</v>
      </c>
      <c r="I72" s="7">
        <f>('Imputed Data'!I72-'Imputed Data'!I60)/'Imputed Data'!I60</f>
        <v>1.593959731543617E-2</v>
      </c>
      <c r="J72" s="7">
        <f>('Imputed Data'!J72-'Imputed Data'!J60)/'Imputed Data'!J60</f>
        <v>4.219409282700582E-3</v>
      </c>
      <c r="K72" s="7">
        <f>('Imputed Data'!K72-'Imputed Data'!K60)/'Imputed Data'!K60</f>
        <v>-0.15592635212888389</v>
      </c>
      <c r="L72" s="7">
        <f>('Imputed Data'!L72-'Imputed Data'!L60)/'Imputed Data'!L60</f>
        <v>-9.2225609756097532E-2</v>
      </c>
      <c r="M72" s="7">
        <f>('Imputed Data'!M72-'Imputed Data'!M60)/'Imputed Data'!M60</f>
        <v>-9.0243902439024345E-2</v>
      </c>
      <c r="N72" s="7">
        <f>('Imputed Data'!N72-'Imputed Data'!N60)/'Imputed Data'!N60</f>
        <v>2.9970760233918085E-2</v>
      </c>
      <c r="O72" s="7">
        <f>('Imputed Data'!O72-'Imputed Data'!O60)/'Imputed Data'!O60</f>
        <v>3.3281733746130124E-2</v>
      </c>
      <c r="P72" s="7">
        <f>('Imputed Data'!P72-'Imputed Data'!P60)/'Imputed Data'!P60</f>
        <v>3.7609133646742739E-2</v>
      </c>
      <c r="Q72" s="7">
        <f>('Imputed Data'!Q72-'Imputed Data'!Q60)/'Imputed Data'!Q60</f>
        <v>-1.6889514426460282E-2</v>
      </c>
      <c r="R72" s="7">
        <f>('Imputed Data'!R72-'Imputed Data'!R60)/'Imputed Data'!R60</f>
        <v>6.1357702349869495E-2</v>
      </c>
      <c r="S72" s="7">
        <f>('Imputed Data'!S72-'Imputed Data'!S60)/'Imputed Data'!S60</f>
        <v>3.4965034965034968E-2</v>
      </c>
      <c r="T72" s="7">
        <f>('Imputed Data'!T72-'Imputed Data'!T60)/'Imputed Data'!T60</f>
        <v>3.189910979228474E-2</v>
      </c>
      <c r="U72" s="7">
        <f>('Imputed Data'!U72-'Imputed Data'!U60)/'Imputed Data'!U60</f>
        <v>3.4555712270803784E-2</v>
      </c>
      <c r="V72" s="7">
        <f>('Imputed Data'!V72-'Imputed Data'!V60)/'Imputed Data'!V60</f>
        <v>5.9884559884559971E-2</v>
      </c>
      <c r="W72" s="7">
        <f>('Imputed Data'!W72-'Imputed Data'!W60)/'Imputed Data'!W60</f>
        <v>7.2431633407243026E-2</v>
      </c>
      <c r="X72" s="7">
        <f>('Imputed Data'!X72-'Imputed Data'!X60)/'Imputed Data'!X60</f>
        <v>5.8035714285714156E-2</v>
      </c>
      <c r="Y72" s="7">
        <f>('Imputed Data'!Y72-'Imputed Data'!Y60)/'Imputed Data'!Y60</f>
        <v>7.1644042232277536E-2</v>
      </c>
      <c r="Z72" s="7">
        <f>('Imputed Data'!Z72-'Imputed Data'!Z60)/'Imputed Data'!Z60</f>
        <v>6.0862214708368577E-2</v>
      </c>
      <c r="AA72" s="7">
        <f>('Imputed Data'!AA72-'Imputed Data'!AA60)/'Imputed Data'!AA60</f>
        <v>5.8960434445306395E-2</v>
      </c>
      <c r="AB72" s="7">
        <f>('Imputed Data'!AB72-'Imputed Data'!AB60)/'Imputed Data'!AB60</f>
        <v>6.6378066378066508E-2</v>
      </c>
      <c r="AC72" s="7">
        <f>('Imputed Data'!AC72-'Imputed Data'!AC60)/'Imputed Data'!AC60</f>
        <v>4.1009463722397499E-2</v>
      </c>
      <c r="AD72" s="7">
        <f>('Imputed Data'!AD72-'Imputed Data'!AD60)/'Imputed Data'!AD60</f>
        <v>6.1526479750778858E-2</v>
      </c>
      <c r="AE72" s="7">
        <f>('Imputed Data'!AE72-'Imputed Data'!AE60)/'Imputed Data'!AE60</f>
        <v>2.3255813953488497E-2</v>
      </c>
    </row>
    <row r="73" spans="1:31" x14ac:dyDescent="0.25">
      <c r="A73" s="1">
        <f>'Imputed Data'!A73</f>
        <v>43435</v>
      </c>
      <c r="B73" s="1" t="str">
        <f>'Imputed Data'!B73</f>
        <v>Rural+Urban</v>
      </c>
      <c r="C73" s="2">
        <f>'Imputed Data'!C73</f>
        <v>2018</v>
      </c>
      <c r="D73" s="1" t="str">
        <f>'Imputed Data'!D73</f>
        <v>December</v>
      </c>
      <c r="E73" s="7">
        <f>('Imputed Data'!E73-'Imputed Data'!E61)/'Imputed Data'!E61</f>
        <v>1.2518409425625836E-2</v>
      </c>
      <c r="F73" s="7">
        <f>('Imputed Data'!F73-'Imputed Data'!F61)/'Imputed Data'!F61</f>
        <v>5.024424284717368E-2</v>
      </c>
      <c r="G73" s="7">
        <f>('Imputed Data'!G73-'Imputed Data'!G61)/'Imputed Data'!G61</f>
        <v>-4.4077134986225744E-2</v>
      </c>
      <c r="H73" s="7">
        <f>('Imputed Data'!H73-'Imputed Data'!H61)/'Imputed Data'!H61</f>
        <v>7.8014184397162721E-3</v>
      </c>
      <c r="I73" s="7">
        <f>('Imputed Data'!I73-'Imputed Data'!I61)/'Imputed Data'!I61</f>
        <v>1.2448132780082987E-2</v>
      </c>
      <c r="J73" s="7">
        <f>('Imputed Data'!J73-'Imputed Data'!J61)/'Imputed Data'!J61</f>
        <v>-1.4840989399293247E-2</v>
      </c>
      <c r="K73" s="7">
        <f>('Imputed Data'!K73-'Imputed Data'!K61)/'Imputed Data'!K61</f>
        <v>-0.16388373531230674</v>
      </c>
      <c r="L73" s="7">
        <f>('Imputed Data'!L73-'Imputed Data'!L61)/'Imputed Data'!L61</f>
        <v>-7.2037180480247848E-2</v>
      </c>
      <c r="M73" s="7">
        <f>('Imputed Data'!M73-'Imputed Data'!M61)/'Imputed Data'!M61</f>
        <v>-9.2181069958847756E-2</v>
      </c>
      <c r="N73" s="7">
        <f>('Imputed Data'!N73-'Imputed Data'!N61)/'Imputed Data'!N61</f>
        <v>2.552881108679796E-2</v>
      </c>
      <c r="O73" s="7">
        <f>('Imputed Data'!O73-'Imputed Data'!O61)/'Imputed Data'!O61</f>
        <v>3.8819875776397512E-2</v>
      </c>
      <c r="P73" s="7">
        <f>('Imputed Data'!P73-'Imputed Data'!P61)/'Imputed Data'!P61</f>
        <v>3.7583892617449627E-2</v>
      </c>
      <c r="Q73" s="7">
        <f>('Imputed Data'!Q73-'Imputed Data'!Q61)/'Imputed Data'!Q61</f>
        <v>-1.6370106761565917E-2</v>
      </c>
      <c r="R73" s="7">
        <f>('Imputed Data'!R73-'Imputed Data'!R61)/'Imputed Data'!R61</f>
        <v>5.7068741893644692E-2</v>
      </c>
      <c r="S73" s="7">
        <f>('Imputed Data'!S73-'Imputed Data'!S61)/'Imputed Data'!S61</f>
        <v>3.494060097833683E-2</v>
      </c>
      <c r="T73" s="7">
        <f>('Imputed Data'!T73-'Imputed Data'!T61)/'Imputed Data'!T61</f>
        <v>3.1828275351591502E-2</v>
      </c>
      <c r="U73" s="7">
        <f>('Imputed Data'!U73-'Imputed Data'!U61)/'Imputed Data'!U61</f>
        <v>3.3802816901408531E-2</v>
      </c>
      <c r="V73" s="7">
        <f>('Imputed Data'!V73-'Imputed Data'!V61)/'Imputed Data'!V61</f>
        <v>5.3199137311286886E-2</v>
      </c>
      <c r="W73" s="7">
        <f>('Imputed Data'!W73-'Imputed Data'!W61)/'Imputed Data'!W61</f>
        <v>4.4655929721815479E-2</v>
      </c>
      <c r="X73" s="7">
        <f>('Imputed Data'!X73-'Imputed Data'!X61)/'Imputed Data'!X61</f>
        <v>6.3103192279138826E-2</v>
      </c>
      <c r="Y73" s="7">
        <f>('Imputed Data'!Y73-'Imputed Data'!Y61)/'Imputed Data'!Y61</f>
        <v>8.865514650638627E-2</v>
      </c>
      <c r="Z73" s="7">
        <f>('Imputed Data'!Z73-'Imputed Data'!Z61)/'Imputed Data'!Z61</f>
        <v>4.3037974683544256E-2</v>
      </c>
      <c r="AA73" s="7">
        <f>('Imputed Data'!AA73-'Imputed Data'!AA61)/'Imputed Data'!AA61</f>
        <v>6.0465116279069857E-2</v>
      </c>
      <c r="AB73" s="7">
        <f>('Imputed Data'!AB73-'Imputed Data'!AB61)/'Imputed Data'!AB61</f>
        <v>8.3754512635379016E-2</v>
      </c>
      <c r="AC73" s="7">
        <f>('Imputed Data'!AC73-'Imputed Data'!AC61)/'Imputed Data'!AC61</f>
        <v>4.505928853754932E-2</v>
      </c>
      <c r="AD73" s="7">
        <f>('Imputed Data'!AD73-'Imputed Data'!AD61)/'Imputed Data'!AD61</f>
        <v>6.3763608087091889E-2</v>
      </c>
      <c r="AE73" s="7">
        <f>('Imputed Data'!AE73-'Imputed Data'!AE61)/'Imputed Data'!AE61</f>
        <v>2.1137026239067099E-2</v>
      </c>
    </row>
    <row r="74" spans="1:31" x14ac:dyDescent="0.25">
      <c r="A74" s="1">
        <f>'Imputed Data'!A74</f>
        <v>43466</v>
      </c>
      <c r="B74" s="1" t="str">
        <f>'Imputed Data'!B74</f>
        <v>Rural+Urban</v>
      </c>
      <c r="C74" s="2">
        <f>'Imputed Data'!C74</f>
        <v>2019</v>
      </c>
      <c r="D74" s="1" t="str">
        <f>'Imputed Data'!D74</f>
        <v>January</v>
      </c>
      <c r="E74" s="7">
        <f>('Imputed Data'!E74-'Imputed Data'!E62)/'Imputed Data'!E62</f>
        <v>8.0882352941176044E-3</v>
      </c>
      <c r="F74" s="7">
        <f>('Imputed Data'!F74-'Imputed Data'!F62)/'Imputed Data'!F62</f>
        <v>4.9930651872399569E-2</v>
      </c>
      <c r="G74" s="7">
        <f>('Imputed Data'!G74-'Imputed Data'!G62)/'Imputed Data'!G62</f>
        <v>-2.4356297842727907E-2</v>
      </c>
      <c r="H74" s="7">
        <f>('Imputed Data'!H74-'Imputed Data'!H62)/'Imputed Data'!H62</f>
        <v>7.087172218284905E-3</v>
      </c>
      <c r="I74" s="7">
        <f>('Imputed Data'!I74-'Imputed Data'!I62)/'Imputed Data'!I62</f>
        <v>9.1135045567522308E-3</v>
      </c>
      <c r="J74" s="7">
        <f>('Imputed Data'!J74-'Imputed Data'!J62)/'Imputed Data'!J62</f>
        <v>-4.1755130927105484E-2</v>
      </c>
      <c r="K74" s="7">
        <f>('Imputed Data'!K74-'Imputed Data'!K62)/'Imputed Data'!K62</f>
        <v>-0.13390501319261203</v>
      </c>
      <c r="L74" s="7">
        <f>('Imputed Data'!L74-'Imputed Data'!L62)/'Imputed Data'!L62</f>
        <v>-5.498821681068343E-2</v>
      </c>
      <c r="M74" s="7">
        <f>('Imputed Data'!M74-'Imputed Data'!M62)/'Imputed Data'!M62</f>
        <v>-8.1649831649831681E-2</v>
      </c>
      <c r="N74" s="7">
        <f>('Imputed Data'!N74-'Imputed Data'!N62)/'Imputed Data'!N62</f>
        <v>1.381818181818186E-2</v>
      </c>
      <c r="O74" s="7">
        <f>('Imputed Data'!O74-'Imputed Data'!O62)/'Imputed Data'!O62</f>
        <v>3.3333333333333423E-2</v>
      </c>
      <c r="P74" s="7">
        <f>('Imputed Data'!P74-'Imputed Data'!P62)/'Imputed Data'!P62</f>
        <v>3.4113712374581905E-2</v>
      </c>
      <c r="Q74" s="7">
        <f>('Imputed Data'!Q74-'Imputed Data'!Q62)/'Imputed Data'!Q62</f>
        <v>-1.2931034482758499E-2</v>
      </c>
      <c r="R74" s="7">
        <f>('Imputed Data'!R74-'Imputed Data'!R62)/'Imputed Data'!R62</f>
        <v>5.4945054945054951E-2</v>
      </c>
      <c r="S74" s="7">
        <f>('Imputed Data'!S74-'Imputed Data'!S62)/'Imputed Data'!S62</f>
        <v>2.8571428571428532E-2</v>
      </c>
      <c r="T74" s="7">
        <f>('Imputed Data'!T74-'Imputed Data'!T62)/'Imputed Data'!T62</f>
        <v>2.5830258302583026E-2</v>
      </c>
      <c r="U74" s="7">
        <f>('Imputed Data'!U74-'Imputed Data'!U62)/'Imputed Data'!U62</f>
        <v>2.8812368236120829E-2</v>
      </c>
      <c r="V74" s="7">
        <f>('Imputed Data'!V74-'Imputed Data'!V62)/'Imputed Data'!V62</f>
        <v>5.199430199430187E-2</v>
      </c>
      <c r="W74" s="7">
        <f>('Imputed Data'!W74-'Imputed Data'!W62)/'Imputed Data'!W62</f>
        <v>2.1229868228404142E-2</v>
      </c>
      <c r="X74" s="7">
        <f>('Imputed Data'!X74-'Imputed Data'!X62)/'Imputed Data'!X62</f>
        <v>6.4492216456634457E-2</v>
      </c>
      <c r="Y74" s="7">
        <f>('Imputed Data'!Y74-'Imputed Data'!Y62)/'Imputed Data'!Y62</f>
        <v>8.8522130532633025E-2</v>
      </c>
      <c r="Z74" s="7">
        <f>('Imputed Data'!Z74-'Imputed Data'!Z62)/'Imputed Data'!Z62</f>
        <v>3.3528918692372171E-2</v>
      </c>
      <c r="AA74" s="7">
        <f>('Imputed Data'!AA74-'Imputed Data'!AA62)/'Imputed Data'!AA62</f>
        <v>5.3970701619121056E-2</v>
      </c>
      <c r="AB74" s="7">
        <f>('Imputed Data'!AB74-'Imputed Data'!AB62)/'Imputed Data'!AB62</f>
        <v>8.0575539568345247E-2</v>
      </c>
      <c r="AC74" s="7">
        <f>('Imputed Data'!AC74-'Imputed Data'!AC62)/'Imputed Data'!AC62</f>
        <v>4.3205027494108518E-2</v>
      </c>
      <c r="AD74" s="7">
        <f>('Imputed Data'!AD74-'Imputed Data'!AD62)/'Imputed Data'!AD62</f>
        <v>6.0418280402788627E-2</v>
      </c>
      <c r="AE74" s="7">
        <f>('Imputed Data'!AE74-'Imputed Data'!AE62)/'Imputed Data'!AE62</f>
        <v>1.9722425127830449E-2</v>
      </c>
    </row>
    <row r="75" spans="1:31" x14ac:dyDescent="0.25">
      <c r="A75" s="1">
        <f>'Imputed Data'!A75</f>
        <v>43497</v>
      </c>
      <c r="B75" s="1" t="str">
        <f>'Imputed Data'!B75</f>
        <v>Rural+Urban</v>
      </c>
      <c r="C75" s="2">
        <f>'Imputed Data'!C75</f>
        <v>2019</v>
      </c>
      <c r="D75" s="1" t="str">
        <f>'Imputed Data'!D75</f>
        <v>February</v>
      </c>
      <c r="E75" s="7">
        <f>('Imputed Data'!E75-'Imputed Data'!E63)/'Imputed Data'!E63</f>
        <v>1.2509197939661432E-2</v>
      </c>
      <c r="F75" s="7">
        <f>('Imputed Data'!F75-'Imputed Data'!F63)/'Imputed Data'!F63</f>
        <v>5.9233449477351915E-2</v>
      </c>
      <c r="G75" s="7">
        <f>('Imputed Data'!G75-'Imputed Data'!G63)/'Imputed Data'!G63</f>
        <v>8.5531004989307814E-3</v>
      </c>
      <c r="H75" s="7">
        <f>('Imputed Data'!H75-'Imputed Data'!H63)/'Imputed Data'!H63</f>
        <v>9.2264017033355777E-3</v>
      </c>
      <c r="I75" s="7">
        <f>('Imputed Data'!I75-'Imputed Data'!I63)/'Imputed Data'!I63</f>
        <v>1.328903654485045E-2</v>
      </c>
      <c r="J75" s="7">
        <f>('Imputed Data'!J75-'Imputed Data'!J63)/'Imputed Data'!J63</f>
        <v>-4.5486354093771865E-2</v>
      </c>
      <c r="K75" s="7">
        <f>('Imputed Data'!K75-'Imputed Data'!K63)/'Imputed Data'!K63</f>
        <v>-7.6868327402135311E-2</v>
      </c>
      <c r="L75" s="7">
        <f>('Imputed Data'!L75-'Imputed Data'!L63)/'Imputed Data'!L63</f>
        <v>-3.8155802861685191E-2</v>
      </c>
      <c r="M75" s="7">
        <f>('Imputed Data'!M75-'Imputed Data'!M63)/'Imputed Data'!M63</f>
        <v>-6.9171648163962374E-2</v>
      </c>
      <c r="N75" s="7">
        <f>('Imputed Data'!N75-'Imputed Data'!N63)/'Imputed Data'!N63</f>
        <v>1.7479970866715055E-2</v>
      </c>
      <c r="O75" s="7">
        <f>('Imputed Data'!O75-'Imputed Data'!O63)/'Imputed Data'!O63</f>
        <v>3.8880248833592534E-2</v>
      </c>
      <c r="P75" s="7">
        <f>('Imputed Data'!P75-'Imputed Data'!P63)/'Imputed Data'!P63</f>
        <v>3.5427807486631095E-2</v>
      </c>
      <c r="Q75" s="7">
        <f>('Imputed Data'!Q75-'Imputed Data'!Q63)/'Imputed Data'!Q63</f>
        <v>-7.2674418604647031E-4</v>
      </c>
      <c r="R75" s="7">
        <f>('Imputed Data'!R75-'Imputed Data'!R63)/'Imputed Data'!R63</f>
        <v>5.4874112330535831E-2</v>
      </c>
      <c r="S75" s="7">
        <f>('Imputed Data'!S75-'Imputed Data'!S63)/'Imputed Data'!S63</f>
        <v>2.7121001390820423E-2</v>
      </c>
      <c r="T75" s="7">
        <f>('Imputed Data'!T75-'Imputed Data'!T63)/'Imputed Data'!T63</f>
        <v>3.0235988200589928E-2</v>
      </c>
      <c r="U75" s="7">
        <f>('Imputed Data'!U75-'Imputed Data'!U63)/'Imputed Data'!U63</f>
        <v>2.7349228611500742E-2</v>
      </c>
      <c r="V75" s="7">
        <f>('Imputed Data'!V75-'Imputed Data'!V63)/'Imputed Data'!V63</f>
        <v>5.0955414012738766E-2</v>
      </c>
      <c r="W75" s="7">
        <f>('Imputed Data'!W75-'Imputed Data'!W63)/'Imputed Data'!W63</f>
        <v>1.2435991221653382E-2</v>
      </c>
      <c r="X75" s="7">
        <f>('Imputed Data'!X75-'Imputed Data'!X63)/'Imputed Data'!X63</f>
        <v>6.2869822485207102E-2</v>
      </c>
      <c r="Y75" s="7">
        <f>('Imputed Data'!Y75-'Imputed Data'!Y63)/'Imputed Data'!Y63</f>
        <v>8.8191330343796573E-2</v>
      </c>
      <c r="Z75" s="7">
        <f>('Imputed Data'!Z75-'Imputed Data'!Z63)/'Imputed Data'!Z63</f>
        <v>3.0782029950083216E-2</v>
      </c>
      <c r="AA75" s="7">
        <f>('Imputed Data'!AA75-'Imputed Data'!AA63)/'Imputed Data'!AA63</f>
        <v>5.5427251732101529E-2</v>
      </c>
      <c r="AB75" s="7">
        <f>('Imputed Data'!AB75-'Imputed Data'!AB63)/'Imputed Data'!AB63</f>
        <v>8.1294964028777061E-2</v>
      </c>
      <c r="AC75" s="7">
        <f>('Imputed Data'!AC75-'Imputed Data'!AC63)/'Imputed Data'!AC63</f>
        <v>5.0117462803445506E-2</v>
      </c>
      <c r="AD75" s="7">
        <f>('Imputed Data'!AD75-'Imputed Data'!AD63)/'Imputed Data'!AD63</f>
        <v>6.0185185185185279E-2</v>
      </c>
      <c r="AE75" s="7">
        <f>('Imputed Data'!AE75-'Imputed Data'!AE63)/'Imputed Data'!AE63</f>
        <v>2.5659824046920819E-2</v>
      </c>
    </row>
    <row r="76" spans="1:31" x14ac:dyDescent="0.25">
      <c r="A76" s="1">
        <f>'Imputed Data'!A76</f>
        <v>43525</v>
      </c>
      <c r="B76" s="1" t="str">
        <f>'Imputed Data'!B76</f>
        <v>Rural+Urban</v>
      </c>
      <c r="C76" s="2">
        <f>'Imputed Data'!C76</f>
        <v>2019</v>
      </c>
      <c r="D76" s="1" t="str">
        <f>'Imputed Data'!D76</f>
        <v>March</v>
      </c>
      <c r="E76" s="7">
        <f>('Imputed Data'!E76-'Imputed Data'!E64)/'Imputed Data'!E64</f>
        <v>1.174743024963306E-2</v>
      </c>
      <c r="F76" s="7">
        <f>('Imputed Data'!F76-'Imputed Data'!F64)/'Imputed Data'!F64</f>
        <v>6.5459610027855192E-2</v>
      </c>
      <c r="G76" s="7">
        <f>('Imputed Data'!G76-'Imputed Data'!G64)/'Imputed Data'!G64</f>
        <v>1.4461315979754157E-2</v>
      </c>
      <c r="H76" s="7">
        <f>('Imputed Data'!H76-'Imputed Data'!H64)/'Imputed Data'!H64</f>
        <v>7.790368271954836E-3</v>
      </c>
      <c r="I76" s="7">
        <f>('Imputed Data'!I76-'Imputed Data'!I64)/'Imputed Data'!I64</f>
        <v>1.0770505385252668E-2</v>
      </c>
      <c r="J76" s="7">
        <f>('Imputed Data'!J76-'Imputed Data'!J64)/'Imputed Data'!J64</f>
        <v>-5.882352941176467E-2</v>
      </c>
      <c r="K76" s="7">
        <f>('Imputed Data'!K76-'Imputed Data'!K64)/'Imputed Data'!K64</f>
        <v>-1.485884101040119E-2</v>
      </c>
      <c r="L76" s="7">
        <f>('Imputed Data'!L76-'Imputed Data'!L64)/'Imputed Data'!L64</f>
        <v>-2.2471910112359529E-2</v>
      </c>
      <c r="M76" s="7">
        <f>('Imputed Data'!M76-'Imputed Data'!M64)/'Imputed Data'!M64</f>
        <v>-6.1154177433247157E-2</v>
      </c>
      <c r="N76" s="7">
        <f>('Imputed Data'!N76-'Imputed Data'!N64)/'Imputed Data'!N64</f>
        <v>1.2336719883889612E-2</v>
      </c>
      <c r="O76" s="7">
        <f>('Imputed Data'!O76-'Imputed Data'!O64)/'Imputed Data'!O64</f>
        <v>3.5631293570875251E-2</v>
      </c>
      <c r="P76" s="7">
        <f>('Imputed Data'!P76-'Imputed Data'!P64)/'Imputed Data'!P64</f>
        <v>3.1914893617021163E-2</v>
      </c>
      <c r="Q76" s="7">
        <f>('Imputed Data'!Q76-'Imputed Data'!Q64)/'Imputed Data'!Q64</f>
        <v>6.5597667638484384E-3</v>
      </c>
      <c r="R76" s="7">
        <f>('Imputed Data'!R76-'Imputed Data'!R64)/'Imputed Data'!R64</f>
        <v>4.6065259117082459E-2</v>
      </c>
      <c r="S76" s="7">
        <f>('Imputed Data'!S76-'Imputed Data'!S64)/'Imputed Data'!S64</f>
        <v>2.4948024948024908E-2</v>
      </c>
      <c r="T76" s="7">
        <f>('Imputed Data'!T76-'Imputed Data'!T64)/'Imputed Data'!T64</f>
        <v>2.7165932452276192E-2</v>
      </c>
      <c r="U76" s="7">
        <f>('Imputed Data'!U76-'Imputed Data'!U64)/'Imputed Data'!U64</f>
        <v>2.5157232704402475E-2</v>
      </c>
      <c r="V76" s="7">
        <f>('Imputed Data'!V76-'Imputed Data'!V64)/'Imputed Data'!V64</f>
        <v>4.9295774647887321E-2</v>
      </c>
      <c r="W76" s="7">
        <f>('Imputed Data'!W76-'Imputed Data'!W64)/'Imputed Data'!W64</f>
        <v>2.344322344322336E-2</v>
      </c>
      <c r="X76" s="7">
        <f>('Imputed Data'!X76-'Imputed Data'!X64)/'Imputed Data'!X64</f>
        <v>6.0471976401180072E-2</v>
      </c>
      <c r="Y76" s="7">
        <f>('Imputed Data'!Y76-'Imputed Data'!Y64)/'Imputed Data'!Y64</f>
        <v>8.8607594936708681E-2</v>
      </c>
      <c r="Z76" s="7">
        <f>('Imputed Data'!Z76-'Imputed Data'!Z64)/'Imputed Data'!Z64</f>
        <v>2.9752066115702431E-2</v>
      </c>
      <c r="AA76" s="7">
        <f>('Imputed Data'!AA76-'Imputed Data'!AA64)/'Imputed Data'!AA64</f>
        <v>5.5981595092024404E-2</v>
      </c>
      <c r="AB76" s="7">
        <f>('Imputed Data'!AB76-'Imputed Data'!AB64)/'Imputed Data'!AB64</f>
        <v>7.5107296137339047E-2</v>
      </c>
      <c r="AC76" s="7">
        <f>('Imputed Data'!AC76-'Imputed Data'!AC64)/'Imputed Data'!AC64</f>
        <v>4.0561622464898729E-2</v>
      </c>
      <c r="AD76" s="7">
        <f>('Imputed Data'!AD76-'Imputed Data'!AD64)/'Imputed Data'!AD64</f>
        <v>5.6792018419032822E-2</v>
      </c>
      <c r="AE76" s="7">
        <f>('Imputed Data'!AE76-'Imputed Data'!AE64)/'Imputed Data'!AE64</f>
        <v>2.8571428571428612E-2</v>
      </c>
    </row>
    <row r="77" spans="1:31" x14ac:dyDescent="0.25">
      <c r="A77" s="1">
        <f>'Imputed Data'!A77</f>
        <v>43556</v>
      </c>
      <c r="B77" s="1" t="str">
        <f>'Imputed Data'!B77</f>
        <v>Rural+Urban</v>
      </c>
      <c r="C77" s="2">
        <f>'Imputed Data'!C77</f>
        <v>2019</v>
      </c>
      <c r="D77" s="1" t="str">
        <f>'Imputed Data'!D77</f>
        <v>April</v>
      </c>
      <c r="E77" s="7">
        <f>('Imputed Data'!E77-'Imputed Data'!E65)/'Imputed Data'!E65</f>
        <v>1.2096774193548428E-2</v>
      </c>
      <c r="F77" s="7">
        <f>('Imputed Data'!F77-'Imputed Data'!F65)/'Imputed Data'!F65</f>
        <v>7.8601108033240955E-2</v>
      </c>
      <c r="G77" s="7">
        <f>('Imputed Data'!G77-'Imputed Data'!G65)/'Imputed Data'!G65</f>
        <v>3.1740104555638533E-2</v>
      </c>
      <c r="H77" s="7">
        <f>('Imputed Data'!H77-'Imputed Data'!H65)/'Imputed Data'!H65</f>
        <v>5.6497175141243744E-3</v>
      </c>
      <c r="I77" s="7">
        <f>('Imputed Data'!I77-'Imputed Data'!I65)/'Imputed Data'!I65</f>
        <v>8.2644628099173556E-3</v>
      </c>
      <c r="J77" s="7">
        <f>('Imputed Data'!J77-'Imputed Data'!J65)/'Imputed Data'!J65</f>
        <v>-7.4592833876221426E-2</v>
      </c>
      <c r="K77" s="7">
        <f>('Imputed Data'!K77-'Imputed Data'!K65)/'Imputed Data'!K65</f>
        <v>3.9215686274509935E-2</v>
      </c>
      <c r="L77" s="7">
        <f>('Imputed Data'!L77-'Imputed Data'!L65)/'Imputed Data'!L65</f>
        <v>-1.2145748987854711E-3</v>
      </c>
      <c r="M77" s="7">
        <f>('Imputed Data'!M77-'Imputed Data'!M65)/'Imputed Data'!M65</f>
        <v>-3.7379067722075637E-2</v>
      </c>
      <c r="N77" s="7">
        <f>('Imputed Data'!N77-'Imputed Data'!N65)/'Imputed Data'!N65</f>
        <v>1.0853835021707671E-2</v>
      </c>
      <c r="O77" s="7">
        <f>('Imputed Data'!O77-'Imputed Data'!O65)/'Imputed Data'!O65</f>
        <v>3.279320987654321E-2</v>
      </c>
      <c r="P77" s="7">
        <f>('Imputed Data'!P77-'Imputed Data'!P65)/'Imputed Data'!P65</f>
        <v>2.7447089947089987E-2</v>
      </c>
      <c r="Q77" s="7">
        <f>('Imputed Data'!Q77-'Imputed Data'!Q65)/'Imputed Data'!Q65</f>
        <v>1.4545454545454545E-2</v>
      </c>
      <c r="R77" s="7">
        <f>('Imputed Data'!R77-'Imputed Data'!R65)/'Imputed Data'!R65</f>
        <v>4.3977055449330817E-2</v>
      </c>
      <c r="S77" s="7">
        <f>('Imputed Data'!S77-'Imputed Data'!S65)/'Imputed Data'!S65</f>
        <v>1.9614590502408769E-2</v>
      </c>
      <c r="T77" s="7">
        <f>('Imputed Data'!T77-'Imputed Data'!T65)/'Imputed Data'!T65</f>
        <v>2.5237746891002322E-2</v>
      </c>
      <c r="U77" s="7">
        <f>('Imputed Data'!U77-'Imputed Data'!U65)/'Imputed Data'!U65</f>
        <v>2.0833333333333332E-2</v>
      </c>
      <c r="V77" s="7">
        <f>('Imputed Data'!V77-'Imputed Data'!V65)/'Imputed Data'!V65</f>
        <v>4.6536039188243568E-2</v>
      </c>
      <c r="W77" s="7">
        <f>('Imputed Data'!W77-'Imputed Data'!W65)/'Imputed Data'!W65</f>
        <v>2.564102564102564E-2</v>
      </c>
      <c r="X77" s="7">
        <f>('Imputed Data'!X77-'Imputed Data'!X65)/'Imputed Data'!X65</f>
        <v>5.2342606149341185E-2</v>
      </c>
      <c r="Y77" s="7">
        <f>('Imputed Data'!Y77-'Imputed Data'!Y65)/'Imputed Data'!Y65</f>
        <v>8.3949704142012013E-2</v>
      </c>
      <c r="Z77" s="7">
        <f>('Imputed Data'!Z77-'Imputed Data'!Z65)/'Imputed Data'!Z65</f>
        <v>2.3379819524200117E-2</v>
      </c>
      <c r="AA77" s="7">
        <f>('Imputed Data'!AA77-'Imputed Data'!AA65)/'Imputed Data'!AA65</f>
        <v>5.4455445544554275E-2</v>
      </c>
      <c r="AB77" s="7">
        <f>('Imputed Data'!AB77-'Imputed Data'!AB65)/'Imputed Data'!AB65</f>
        <v>6.7538896746817415E-2</v>
      </c>
      <c r="AC77" s="7">
        <f>('Imputed Data'!AC77-'Imputed Data'!AC65)/'Imputed Data'!AC65</f>
        <v>3.2507739938080628E-2</v>
      </c>
      <c r="AD77" s="7">
        <f>('Imputed Data'!AD77-'Imputed Data'!AD65)/'Imputed Data'!AD65</f>
        <v>5.0647372429550468E-2</v>
      </c>
      <c r="AE77" s="7">
        <f>('Imputed Data'!AE77-'Imputed Data'!AE65)/'Imputed Data'!AE65</f>
        <v>2.9905178701677568E-2</v>
      </c>
    </row>
    <row r="78" spans="1:31" x14ac:dyDescent="0.25">
      <c r="A78" s="1">
        <f>'Imputed Data'!A78</f>
        <v>43586</v>
      </c>
      <c r="B78" s="1" t="str">
        <f>'Imputed Data'!B78</f>
        <v>Rural+Urban</v>
      </c>
      <c r="C78" s="2">
        <f>'Imputed Data'!C78</f>
        <v>2019</v>
      </c>
      <c r="D78" s="1" t="str">
        <f>'Imputed Data'!D78</f>
        <v>May</v>
      </c>
      <c r="E78" s="7">
        <f>('Imputed Data'!E78-'Imputed Data'!E66)/'Imputed Data'!E66</f>
        <v>1.2445095168374942E-2</v>
      </c>
      <c r="F78" s="7">
        <f>('Imputed Data'!F78-'Imputed Data'!F66)/'Imputed Data'!F66</f>
        <v>8.1173260572987765E-2</v>
      </c>
      <c r="G78" s="7">
        <f>('Imputed Data'!G78-'Imputed Data'!G66)/'Imputed Data'!G66</f>
        <v>1.796407185628747E-2</v>
      </c>
      <c r="H78" s="7">
        <f>('Imputed Data'!H78-'Imputed Data'!H66)/'Imputed Data'!H66</f>
        <v>2.8149190710767468E-3</v>
      </c>
      <c r="I78" s="7">
        <f>('Imputed Data'!I78-'Imputed Data'!I66)/'Imputed Data'!I66</f>
        <v>8.2644628099173556E-3</v>
      </c>
      <c r="J78" s="7">
        <f>('Imputed Data'!J78-'Imputed Data'!J66)/'Imputed Data'!J66</f>
        <v>-5.2393272962483792E-2</v>
      </c>
      <c r="K78" s="7">
        <f>('Imputed Data'!K78-'Imputed Data'!K66)/'Imputed Data'!K66</f>
        <v>5.4572271386430719E-2</v>
      </c>
      <c r="L78" s="7">
        <f>('Imputed Data'!L78-'Imputed Data'!L66)/'Imputed Data'!L66</f>
        <v>2.1259198691741688E-2</v>
      </c>
      <c r="M78" s="7">
        <f>('Imputed Data'!M78-'Imputed Data'!M66)/'Imputed Data'!M66</f>
        <v>2.7372262773723666E-3</v>
      </c>
      <c r="N78" s="7">
        <f>('Imputed Data'!N78-'Imputed Data'!N66)/'Imputed Data'!N66</f>
        <v>1.3034033309196318E-2</v>
      </c>
      <c r="O78" s="7">
        <f>('Imputed Data'!O78-'Imputed Data'!O66)/'Imputed Data'!O66</f>
        <v>3.1562740569668929E-2</v>
      </c>
      <c r="P78" s="7">
        <f>('Imputed Data'!P78-'Imputed Data'!P66)/'Imputed Data'!P66</f>
        <v>2.5049439683586101E-2</v>
      </c>
      <c r="Q78" s="7">
        <f>('Imputed Data'!Q78-'Imputed Data'!Q66)/'Imputed Data'!Q66</f>
        <v>2.0275162925416448E-2</v>
      </c>
      <c r="R78" s="7">
        <f>('Imputed Data'!R78-'Imputed Data'!R66)/'Imputed Data'!R66</f>
        <v>3.9265357821405882E-2</v>
      </c>
      <c r="S78" s="7">
        <f>('Imputed Data'!S78-'Imputed Data'!S66)/'Imputed Data'!S66</f>
        <v>1.6438356164383602E-2</v>
      </c>
      <c r="T78" s="7">
        <f>('Imputed Data'!T78-'Imputed Data'!T66)/'Imputed Data'!T66</f>
        <v>2.1834061135371178E-2</v>
      </c>
      <c r="U78" s="7">
        <f>('Imputed Data'!U78-'Imputed Data'!U66)/'Imputed Data'!U66</f>
        <v>1.7968210089841209E-2</v>
      </c>
      <c r="V78" s="7">
        <f>('Imputed Data'!V78-'Imputed Data'!V66)/'Imputed Data'!V66</f>
        <v>4.8184357541899488E-2</v>
      </c>
      <c r="W78" s="7">
        <f>('Imputed Data'!W78-'Imputed Data'!W66)/'Imputed Data'!W66</f>
        <v>2.4835646457268119E-2</v>
      </c>
      <c r="X78" s="7">
        <f>('Imputed Data'!X78-'Imputed Data'!X66)/'Imputed Data'!X66</f>
        <v>4.5851528384279347E-2</v>
      </c>
      <c r="Y78" s="7">
        <f>('Imputed Data'!Y78-'Imputed Data'!Y66)/'Imputed Data'!Y66</f>
        <v>8.014705882352946E-2</v>
      </c>
      <c r="Z78" s="7">
        <f>('Imputed Data'!Z78-'Imputed Data'!Z66)/'Imputed Data'!Z66</f>
        <v>1.627339300244101E-2</v>
      </c>
      <c r="AA78" s="7">
        <f>('Imputed Data'!AA78-'Imputed Data'!AA66)/'Imputed Data'!AA66</f>
        <v>5.6145675265553689E-2</v>
      </c>
      <c r="AB78" s="7">
        <f>('Imputed Data'!AB78-'Imputed Data'!AB66)/'Imputed Data'!AB66</f>
        <v>6.6854327938071778E-2</v>
      </c>
      <c r="AC78" s="7">
        <f>('Imputed Data'!AC78-'Imputed Data'!AC66)/'Imputed Data'!AC66</f>
        <v>2.6943802925327172E-2</v>
      </c>
      <c r="AD78" s="7">
        <f>('Imputed Data'!AD78-'Imputed Data'!AD66)/'Imputed Data'!AD66</f>
        <v>4.617713853141555E-2</v>
      </c>
      <c r="AE78" s="7">
        <f>('Imputed Data'!AE78-'Imputed Data'!AE66)/'Imputed Data'!AE66</f>
        <v>3.0478955007256808E-2</v>
      </c>
    </row>
    <row r="79" spans="1:31" x14ac:dyDescent="0.25">
      <c r="A79" s="1">
        <f>'Imputed Data'!A79</f>
        <v>43617</v>
      </c>
      <c r="B79" s="1" t="str">
        <f>'Imputed Data'!B79</f>
        <v>Rural+Urban</v>
      </c>
      <c r="C79" s="2">
        <f>'Imputed Data'!C79</f>
        <v>2019</v>
      </c>
      <c r="D79" s="1" t="str">
        <f>'Imputed Data'!D79</f>
        <v>June</v>
      </c>
      <c r="E79" s="7">
        <f>('Imputed Data'!E79-'Imputed Data'!E67)/'Imputed Data'!E67</f>
        <v>1.3148283418553564E-2</v>
      </c>
      <c r="F79" s="7">
        <f>('Imputed Data'!F79-'Imputed Data'!F67)/'Imputed Data'!F67</f>
        <v>9.011432414256898E-2</v>
      </c>
      <c r="G79" s="7">
        <f>('Imputed Data'!G79-'Imputed Data'!G67)/'Imputed Data'!G67</f>
        <v>1.62241887905606E-2</v>
      </c>
      <c r="H79" s="7">
        <f>('Imputed Data'!H79-'Imputed Data'!H67)/'Imputed Data'!H67</f>
        <v>7.0274068868587487E-3</v>
      </c>
      <c r="I79" s="7">
        <f>('Imputed Data'!I79-'Imputed Data'!I67)/'Imputed Data'!I67</f>
        <v>7.4196207749382169E-3</v>
      </c>
      <c r="J79" s="7">
        <f>('Imputed Data'!J79-'Imputed Data'!J67)/'Imputed Data'!J67</f>
        <v>-4.1775456919059907E-2</v>
      </c>
      <c r="K79" s="7">
        <f>('Imputed Data'!K79-'Imputed Data'!K67)/'Imputed Data'!K67</f>
        <v>4.7320807237300012E-2</v>
      </c>
      <c r="L79" s="7">
        <f>('Imputed Data'!L79-'Imputed Data'!L67)/'Imputed Data'!L67</f>
        <v>5.683690280065902E-2</v>
      </c>
      <c r="M79" s="7">
        <f>('Imputed Data'!M79-'Imputed Data'!M67)/'Imputed Data'!M67</f>
        <v>-9.0009000900084899E-4</v>
      </c>
      <c r="N79" s="7">
        <f>('Imputed Data'!N79-'Imputed Data'!N67)/'Imputed Data'!N67</f>
        <v>1.5895953757225349E-2</v>
      </c>
      <c r="O79" s="7">
        <f>('Imputed Data'!O79-'Imputed Data'!O67)/'Imputed Data'!O67</f>
        <v>2.9930928626246946E-2</v>
      </c>
      <c r="P79" s="7">
        <f>('Imputed Data'!P79-'Imputed Data'!P67)/'Imputed Data'!P67</f>
        <v>2.7009222661396534E-2</v>
      </c>
      <c r="Q79" s="7">
        <f>('Imputed Data'!Q79-'Imputed Data'!Q67)/'Imputed Data'!Q67</f>
        <v>2.3672883787661282E-2</v>
      </c>
      <c r="R79" s="7">
        <f>('Imputed Data'!R79-'Imputed Data'!R67)/'Imputed Data'!R67</f>
        <v>4.1692987997473112E-2</v>
      </c>
      <c r="S79" s="7">
        <f>('Imputed Data'!S79-'Imputed Data'!S67)/'Imputed Data'!S67</f>
        <v>1.5027322404371506E-2</v>
      </c>
      <c r="T79" s="7">
        <f>('Imputed Data'!T79-'Imputed Data'!T67)/'Imputed Data'!T67</f>
        <v>1.6654598117306383E-2</v>
      </c>
      <c r="U79" s="7">
        <f>('Imputed Data'!U79-'Imputed Data'!U67)/'Imputed Data'!U67</f>
        <v>1.515151515151527E-2</v>
      </c>
      <c r="V79" s="7">
        <f>('Imputed Data'!V79-'Imputed Data'!V67)/'Imputed Data'!V67</f>
        <v>4.842105263157899E-2</v>
      </c>
      <c r="W79" s="7">
        <f>('Imputed Data'!W79-'Imputed Data'!W67)/'Imputed Data'!W67</f>
        <v>2.2447501810282364E-2</v>
      </c>
      <c r="X79" s="7">
        <f>('Imputed Data'!X79-'Imputed Data'!X67)/'Imputed Data'!X67</f>
        <v>4.278462654097176E-2</v>
      </c>
      <c r="Y79" s="7">
        <f>('Imputed Data'!Y79-'Imputed Data'!Y67)/'Imputed Data'!Y67</f>
        <v>8.2232011747430375E-2</v>
      </c>
      <c r="Z79" s="7">
        <f>('Imputed Data'!Z79-'Imputed Data'!Z67)/'Imputed Data'!Z67</f>
        <v>7.2756669361357437E-3</v>
      </c>
      <c r="AA79" s="7">
        <f>('Imputed Data'!AA79-'Imputed Data'!AA67)/'Imputed Data'!AA67</f>
        <v>5.2790346907993967E-2</v>
      </c>
      <c r="AB79" s="7">
        <f>('Imputed Data'!AB79-'Imputed Data'!AB67)/'Imputed Data'!AB67</f>
        <v>6.792717086834725E-2</v>
      </c>
      <c r="AC79" s="7">
        <f>('Imputed Data'!AC79-'Imputed Data'!AC67)/'Imputed Data'!AC67</f>
        <v>3.2282859338970155E-2</v>
      </c>
      <c r="AD79" s="7">
        <f>('Imputed Data'!AD79-'Imputed Data'!AD67)/'Imputed Data'!AD67</f>
        <v>4.5248868778280542E-2</v>
      </c>
      <c r="AE79" s="7">
        <f>('Imputed Data'!AE79-'Imputed Data'!AE67)/'Imputed Data'!AE67</f>
        <v>3.17689530685921E-2</v>
      </c>
    </row>
    <row r="80" spans="1:31" x14ac:dyDescent="0.25">
      <c r="A80" s="1">
        <f>'Imputed Data'!A80</f>
        <v>43647</v>
      </c>
      <c r="B80" s="1" t="str">
        <f>'Imputed Data'!B80</f>
        <v>Rural+Urban</v>
      </c>
      <c r="C80" s="2">
        <f>'Imputed Data'!C80</f>
        <v>2019</v>
      </c>
      <c r="D80" s="1" t="str">
        <f>'Imputed Data'!D80</f>
        <v>July</v>
      </c>
      <c r="E80" s="7">
        <f>('Imputed Data'!E80-'Imputed Data'!E68)/'Imputed Data'!E68</f>
        <v>1.3090909090909174E-2</v>
      </c>
      <c r="F80" s="7">
        <f>('Imputed Data'!F80-'Imputed Data'!F68)/'Imputed Data'!F68</f>
        <v>9.1213950368879915E-2</v>
      </c>
      <c r="G80" s="7">
        <f>('Imputed Data'!G80-'Imputed Data'!G68)/'Imputed Data'!G68</f>
        <v>5.7471264367816915E-3</v>
      </c>
      <c r="H80" s="7">
        <f>('Imputed Data'!H80-'Imputed Data'!H68)/'Imputed Data'!H68</f>
        <v>1.0526315789473684E-2</v>
      </c>
      <c r="I80" s="7">
        <f>('Imputed Data'!I80-'Imputed Data'!I68)/'Imputed Data'!I68</f>
        <v>9.0609555189455869E-3</v>
      </c>
      <c r="J80" s="7">
        <f>('Imputed Data'!J80-'Imputed Data'!J68)/'Imputed Data'!J68</f>
        <v>-8.5751978891819465E-3</v>
      </c>
      <c r="K80" s="7">
        <f>('Imputed Data'!K80-'Imputed Data'!K68)/'Imputed Data'!K68</f>
        <v>2.8223220012828773E-2</v>
      </c>
      <c r="L80" s="7">
        <f>('Imputed Data'!L80-'Imputed Data'!L68)/'Imputed Data'!L68</f>
        <v>6.8200493015612138E-2</v>
      </c>
      <c r="M80" s="7">
        <f>('Imputed Data'!M80-'Imputed Data'!M68)/'Imputed Data'!M68</f>
        <v>-2.1145374449339258E-2</v>
      </c>
      <c r="N80" s="7">
        <f>('Imputed Data'!N80-'Imputed Data'!N68)/'Imputed Data'!N68</f>
        <v>2.0158387329013556E-2</v>
      </c>
      <c r="O80" s="7">
        <f>('Imputed Data'!O80-'Imputed Data'!O68)/'Imputed Data'!O68</f>
        <v>3.3768227168073497E-2</v>
      </c>
      <c r="P80" s="7">
        <f>('Imputed Data'!P80-'Imputed Data'!P68)/'Imputed Data'!P68</f>
        <v>2.5607353906762817E-2</v>
      </c>
      <c r="Q80" s="7">
        <f>('Imputed Data'!Q80-'Imputed Data'!Q68)/'Imputed Data'!Q68</f>
        <v>2.3338048090523218E-2</v>
      </c>
      <c r="R80" s="7">
        <f>('Imputed Data'!R80-'Imputed Data'!R68)/'Imputed Data'!R68</f>
        <v>4.8888888888888815E-2</v>
      </c>
      <c r="S80" s="7">
        <f>('Imputed Data'!S80-'Imputed Data'!S68)/'Imputed Data'!S68</f>
        <v>1.4305177111716581E-2</v>
      </c>
      <c r="T80" s="7">
        <f>('Imputed Data'!T80-'Imputed Data'!T68)/'Imputed Data'!T68</f>
        <v>1.5173410404624235E-2</v>
      </c>
      <c r="U80" s="7">
        <f>('Imputed Data'!U80-'Imputed Data'!U68)/'Imputed Data'!U68</f>
        <v>1.3736263736263736E-2</v>
      </c>
      <c r="V80" s="7">
        <f>('Imputed Data'!V80-'Imputed Data'!V68)/'Imputed Data'!V68</f>
        <v>4.8746518105849582E-2</v>
      </c>
      <c r="W80" s="7">
        <f>('Imputed Data'!W80-'Imputed Data'!W68)/'Imputed Data'!W68</f>
        <v>-2.8632784538294726E-3</v>
      </c>
      <c r="X80" s="7">
        <f>('Imputed Data'!X80-'Imputed Data'!X68)/'Imputed Data'!X68</f>
        <v>4.0404040404040366E-2</v>
      </c>
      <c r="Y80" s="7">
        <f>('Imputed Data'!Y80-'Imputed Data'!Y68)/'Imputed Data'!Y68</f>
        <v>7.9562043795620485E-2</v>
      </c>
      <c r="Z80" s="7">
        <f>('Imputed Data'!Z80-'Imputed Data'!Z68)/'Imputed Data'!Z68</f>
        <v>1.6181229773462785E-2</v>
      </c>
      <c r="AA80" s="7">
        <f>('Imputed Data'!AA80-'Imputed Data'!AA68)/'Imputed Data'!AA68</f>
        <v>5.5597295266716799E-2</v>
      </c>
      <c r="AB80" s="7">
        <f>('Imputed Data'!AB80-'Imputed Data'!AB68)/'Imputed Data'!AB68</f>
        <v>6.4270905321354613E-2</v>
      </c>
      <c r="AC80" s="7">
        <f>('Imputed Data'!AC80-'Imputed Data'!AC68)/'Imputed Data'!AC68</f>
        <v>4.3043812451959991E-2</v>
      </c>
      <c r="AD80" s="7">
        <f>('Imputed Data'!AD80-'Imputed Data'!AD68)/'Imputed Data'!AD68</f>
        <v>4.729729729729739E-2</v>
      </c>
      <c r="AE80" s="7">
        <f>('Imputed Data'!AE80-'Imputed Data'!AE68)/'Imputed Data'!AE68</f>
        <v>3.14735336194562E-2</v>
      </c>
    </row>
    <row r="81" spans="1:31" x14ac:dyDescent="0.25">
      <c r="A81" s="1">
        <f>'Imputed Data'!A81</f>
        <v>43678</v>
      </c>
      <c r="B81" s="1" t="str">
        <f>'Imputed Data'!B81</f>
        <v>Rural+Urban</v>
      </c>
      <c r="C81" s="2">
        <f>'Imputed Data'!C81</f>
        <v>2019</v>
      </c>
      <c r="D81" s="1" t="str">
        <f>'Imputed Data'!D81</f>
        <v>August</v>
      </c>
      <c r="E81" s="7">
        <f>('Imputed Data'!E81-'Imputed Data'!E69)/'Imputed Data'!E69</f>
        <v>1.3015184381778618E-2</v>
      </c>
      <c r="F81" s="7">
        <f>('Imputed Data'!F81-'Imputed Data'!F69)/'Imputed Data'!F69</f>
        <v>8.5135135135135098E-2</v>
      </c>
      <c r="G81" s="7">
        <f>('Imputed Data'!G81-'Imputed Data'!G69)/'Imputed Data'!G69</f>
        <v>2.8964518464880936E-3</v>
      </c>
      <c r="H81" s="7">
        <f>('Imputed Data'!H81-'Imputed Data'!H69)/'Imputed Data'!H69</f>
        <v>1.4726507713884954E-2</v>
      </c>
      <c r="I81" s="7">
        <f>('Imputed Data'!I81-'Imputed Data'!I69)/'Imputed Data'!I69</f>
        <v>5.72831423895256E-3</v>
      </c>
      <c r="J81" s="7">
        <f>('Imputed Data'!J81-'Imputed Data'!J69)/'Imputed Data'!J69</f>
        <v>-7.9681274900397659E-3</v>
      </c>
      <c r="K81" s="7">
        <f>('Imputed Data'!K81-'Imputed Data'!K69)/'Imputed Data'!K69</f>
        <v>6.8965517241379379E-2</v>
      </c>
      <c r="L81" s="7">
        <f>('Imputed Data'!L81-'Imputed Data'!L69)/'Imputed Data'!L69</f>
        <v>6.9444444444444448E-2</v>
      </c>
      <c r="M81" s="7">
        <f>('Imputed Data'!M81-'Imputed Data'!M69)/'Imputed Data'!M69</f>
        <v>-2.3539668700959047E-2</v>
      </c>
      <c r="N81" s="7">
        <f>('Imputed Data'!N81-'Imputed Data'!N69)/'Imputed Data'!N69</f>
        <v>2.2955523672883706E-2</v>
      </c>
      <c r="O81" s="7">
        <f>('Imputed Data'!O81-'Imputed Data'!O69)/'Imputed Data'!O69</f>
        <v>2.8985507246376899E-2</v>
      </c>
      <c r="P81" s="7">
        <f>('Imputed Data'!P81-'Imputed Data'!P69)/'Imputed Data'!P69</f>
        <v>2.3529411764705844E-2</v>
      </c>
      <c r="Q81" s="7">
        <f>('Imputed Data'!Q81-'Imputed Data'!Q69)/'Imputed Data'!Q69</f>
        <v>2.9640084685956369E-2</v>
      </c>
      <c r="R81" s="7">
        <f>('Imputed Data'!R81-'Imputed Data'!R69)/'Imputed Data'!R69</f>
        <v>5.0031665611146331E-2</v>
      </c>
      <c r="S81" s="7">
        <f>('Imputed Data'!S81-'Imputed Data'!S69)/'Imputed Data'!S69</f>
        <v>1.2219959266802327E-2</v>
      </c>
      <c r="T81" s="7">
        <f>('Imputed Data'!T81-'Imputed Data'!T69)/'Imputed Data'!T69</f>
        <v>1.2968299711815437E-2</v>
      </c>
      <c r="U81" s="7">
        <f>('Imputed Data'!U81-'Imputed Data'!U69)/'Imputed Data'!U69</f>
        <v>1.2320328542094534E-2</v>
      </c>
      <c r="V81" s="7">
        <f>('Imputed Data'!V81-'Imputed Data'!V69)/'Imputed Data'!V69</f>
        <v>4.8409405255878286E-2</v>
      </c>
      <c r="W81" s="7">
        <f>('Imputed Data'!W81-'Imputed Data'!W69)/'Imputed Data'!W69</f>
        <v>-1.7033356990773636E-2</v>
      </c>
      <c r="X81" s="7">
        <f>('Imputed Data'!X81-'Imputed Data'!X69)/'Imputed Data'!X69</f>
        <v>3.6585365853658493E-2</v>
      </c>
      <c r="Y81" s="7">
        <f>('Imputed Data'!Y81-'Imputed Data'!Y69)/'Imputed Data'!Y69</f>
        <v>7.843137254901969E-2</v>
      </c>
      <c r="Z81" s="7">
        <f>('Imputed Data'!Z81-'Imputed Data'!Z69)/'Imputed Data'!Z69</f>
        <v>1.2067578439259855E-2</v>
      </c>
      <c r="AA81" s="7">
        <f>('Imputed Data'!AA81-'Imputed Data'!AA69)/'Imputed Data'!AA69</f>
        <v>5.4640718562874342E-2</v>
      </c>
      <c r="AB81" s="7">
        <f>('Imputed Data'!AB81-'Imputed Data'!AB69)/'Imputed Data'!AB69</f>
        <v>6.0958904109589082E-2</v>
      </c>
      <c r="AC81" s="7">
        <f>('Imputed Data'!AC81-'Imputed Data'!AC69)/'Imputed Data'!AC69</f>
        <v>6.3797079169869417E-2</v>
      </c>
      <c r="AD81" s="7">
        <f>('Imputed Data'!AD81-'Imputed Data'!AD69)/'Imputed Data'!AD69</f>
        <v>4.7050037341299346E-2</v>
      </c>
      <c r="AE81" s="7">
        <f>('Imputed Data'!AE81-'Imputed Data'!AE69)/'Imputed Data'!AE69</f>
        <v>3.2763532763532721E-2</v>
      </c>
    </row>
    <row r="82" spans="1:31" x14ac:dyDescent="0.25">
      <c r="A82" s="1">
        <f>'Imputed Data'!A82</f>
        <v>43709</v>
      </c>
      <c r="B82" s="1" t="str">
        <f>'Imputed Data'!B82</f>
        <v>Rural+Urban</v>
      </c>
      <c r="C82" s="2">
        <f>'Imputed Data'!C82</f>
        <v>2019</v>
      </c>
      <c r="D82" s="1" t="str">
        <f>'Imputed Data'!D82</f>
        <v>September</v>
      </c>
      <c r="E82" s="7">
        <f>('Imputed Data'!E82-'Imputed Data'!E70)/'Imputed Data'!E70</f>
        <v>1.6594516594516676E-2</v>
      </c>
      <c r="F82" s="7">
        <f>('Imputed Data'!F82-'Imputed Data'!F70)/'Imputed Data'!F70</f>
        <v>0.10288065843621398</v>
      </c>
      <c r="G82" s="7">
        <f>('Imputed Data'!G82-'Imputed Data'!G70)/'Imputed Data'!G70</f>
        <v>3.3308660251665435E-2</v>
      </c>
      <c r="H82" s="7">
        <f>('Imputed Data'!H82-'Imputed Data'!H70)/'Imputed Data'!H70</f>
        <v>1.749475157452764E-2</v>
      </c>
      <c r="I82" s="7">
        <f>('Imputed Data'!I82-'Imputed Data'!I70)/'Imputed Data'!I70</f>
        <v>1.1466011466011512E-2</v>
      </c>
      <c r="J82" s="7">
        <f>('Imputed Data'!J82-'Imputed Data'!J70)/'Imputed Data'!J70</f>
        <v>8.253094910591393E-3</v>
      </c>
      <c r="K82" s="7">
        <f>('Imputed Data'!K82-'Imputed Data'!K70)/'Imputed Data'!K70</f>
        <v>0.15466666666666659</v>
      </c>
      <c r="L82" s="7">
        <f>('Imputed Data'!L82-'Imputed Data'!L70)/'Imputed Data'!L70</f>
        <v>8.4019769357495777E-2</v>
      </c>
      <c r="M82" s="7">
        <f>('Imputed Data'!M82-'Imputed Data'!M70)/'Imputed Data'!M70</f>
        <v>-4.3975373790677216E-3</v>
      </c>
      <c r="N82" s="7">
        <f>('Imputed Data'!N82-'Imputed Data'!N70)/'Imputed Data'!N70</f>
        <v>3.2974910394265193E-2</v>
      </c>
      <c r="O82" s="7">
        <f>('Imputed Data'!O82-'Imputed Data'!O70)/'Imputed Data'!O70</f>
        <v>3.2110091743119178E-2</v>
      </c>
      <c r="P82" s="7">
        <f>('Imputed Data'!P82-'Imputed Data'!P70)/'Imputed Data'!P70</f>
        <v>1.9505851755526656E-2</v>
      </c>
      <c r="Q82" s="7">
        <f>('Imputed Data'!Q82-'Imputed Data'!Q70)/'Imputed Data'!Q70</f>
        <v>4.7008547008546966E-2</v>
      </c>
      <c r="R82" s="7">
        <f>('Imputed Data'!R82-'Imputed Data'!R70)/'Imputed Data'!R70</f>
        <v>4.5854271356783993E-2</v>
      </c>
      <c r="S82" s="7">
        <f>('Imputed Data'!S82-'Imputed Data'!S70)/'Imputed Data'!S70</f>
        <v>1.0155721056194991E-2</v>
      </c>
      <c r="T82" s="7">
        <f>('Imputed Data'!T82-'Imputed Data'!T70)/'Imputed Data'!T70</f>
        <v>1.0783608914450037E-2</v>
      </c>
      <c r="U82" s="7">
        <f>('Imputed Data'!U82-'Imputed Data'!U70)/'Imputed Data'!U70</f>
        <v>9.5563139931741006E-3</v>
      </c>
      <c r="V82" s="7">
        <f>('Imputed Data'!V82-'Imputed Data'!V70)/'Imputed Data'!V70</f>
        <v>4.7487955953200114E-2</v>
      </c>
      <c r="W82" s="7">
        <f>('Imputed Data'!W82-'Imputed Data'!W70)/'Imputed Data'!W70</f>
        <v>-2.1784961349262281E-2</v>
      </c>
      <c r="X82" s="7">
        <f>('Imputed Data'!X82-'Imputed Data'!X70)/'Imputed Data'!X70</f>
        <v>3.5075161059413072E-2</v>
      </c>
      <c r="Y82" s="7">
        <f>('Imputed Data'!Y82-'Imputed Data'!Y70)/'Imputed Data'!Y70</f>
        <v>7.6589595375722505E-2</v>
      </c>
      <c r="Z82" s="7">
        <f>('Imputed Data'!Z82-'Imputed Data'!Z70)/'Imputed Data'!Z70</f>
        <v>7.9365079365074855E-4</v>
      </c>
      <c r="AA82" s="7">
        <f>('Imputed Data'!AA82-'Imputed Data'!AA70)/'Imputed Data'!AA70</f>
        <v>5.055762081784395E-2</v>
      </c>
      <c r="AB82" s="7">
        <f>('Imputed Data'!AB82-'Imputed Data'!AB70)/'Imputed Data'!AB70</f>
        <v>6.1559507523939815E-2</v>
      </c>
      <c r="AC82" s="7">
        <f>('Imputed Data'!AC82-'Imputed Data'!AC70)/'Imputed Data'!AC70</f>
        <v>6.7226890756302393E-2</v>
      </c>
      <c r="AD82" s="7">
        <f>('Imputed Data'!AD82-'Imputed Data'!AD70)/'Imputed Data'!AD70</f>
        <v>4.4543429844098002E-2</v>
      </c>
      <c r="AE82" s="7">
        <f>('Imputed Data'!AE82-'Imputed Data'!AE70)/'Imputed Data'!AE70</f>
        <v>3.9942938659058652E-2</v>
      </c>
    </row>
    <row r="83" spans="1:31" x14ac:dyDescent="0.25">
      <c r="A83" s="1">
        <f>'Imputed Data'!A83</f>
        <v>43739</v>
      </c>
      <c r="B83" s="1" t="str">
        <f>'Imputed Data'!B83</f>
        <v>Rural+Urban</v>
      </c>
      <c r="C83" s="2">
        <f>'Imputed Data'!C83</f>
        <v>2019</v>
      </c>
      <c r="D83" s="1" t="str">
        <f>'Imputed Data'!D83</f>
        <v>October</v>
      </c>
      <c r="E83" s="7">
        <f>('Imputed Data'!E83-'Imputed Data'!E71)/'Imputed Data'!E71</f>
        <v>3.2023289665211105E-2</v>
      </c>
      <c r="F83" s="7">
        <f>('Imputed Data'!F83-'Imputed Data'!F71)/'Imputed Data'!F71</f>
        <v>7.6923076923076927E-2</v>
      </c>
      <c r="G83" s="7">
        <f>('Imputed Data'!G83-'Imputed Data'!G71)/'Imputed Data'!G71</f>
        <v>3.8601602330662656E-2</v>
      </c>
      <c r="H83" s="7">
        <f>('Imputed Data'!H83-'Imputed Data'!H71)/'Imputed Data'!H71</f>
        <v>3.0303030303030182E-2</v>
      </c>
      <c r="I83" s="7">
        <f>('Imputed Data'!I83-'Imputed Data'!I71)/'Imputed Data'!I71</f>
        <v>2.312138728323709E-2</v>
      </c>
      <c r="J83" s="7">
        <f>('Imputed Data'!J83-'Imputed Data'!J71)/'Imputed Data'!J71</f>
        <v>3.8596491228070177E-2</v>
      </c>
      <c r="K83" s="7">
        <f>('Imputed Data'!K83-'Imputed Data'!K71)/'Imputed Data'!K71</f>
        <v>0.28425357873210649</v>
      </c>
      <c r="L83" s="7">
        <f>('Imputed Data'!L83-'Imputed Data'!L71)/'Imputed Data'!L71</f>
        <v>0.11251049538203196</v>
      </c>
      <c r="M83" s="7">
        <f>('Imputed Data'!M83-'Imputed Data'!M71)/'Imputed Data'!M71</f>
        <v>1.8766756032171528E-2</v>
      </c>
      <c r="N83" s="7">
        <f>('Imputed Data'!N83-'Imputed Data'!N71)/'Imputed Data'!N71</f>
        <v>3.120567375886529E-2</v>
      </c>
      <c r="O83" s="7">
        <f>('Imputed Data'!O83-'Imputed Data'!O71)/'Imputed Data'!O71</f>
        <v>1.1227544910179641E-2</v>
      </c>
      <c r="P83" s="7">
        <f>('Imputed Data'!P83-'Imputed Data'!P71)/'Imputed Data'!P71</f>
        <v>1.6828478964401258E-2</v>
      </c>
      <c r="Q83" s="7">
        <f>('Imputed Data'!Q83-'Imputed Data'!Q71)/'Imputed Data'!Q71</f>
        <v>7.0866141732283505E-2</v>
      </c>
      <c r="R83" s="7">
        <f>('Imputed Data'!R83-'Imputed Data'!R71)/'Imputed Data'!R71</f>
        <v>2.7675276752767528E-2</v>
      </c>
      <c r="S83" s="7">
        <f>('Imputed Data'!S83-'Imputed Data'!S71)/'Imputed Data'!S71</f>
        <v>9.4594594594594981E-3</v>
      </c>
      <c r="T83" s="7">
        <f>('Imputed Data'!T83-'Imputed Data'!T71)/'Imputed Data'!T71</f>
        <v>1.1494252873563383E-2</v>
      </c>
      <c r="U83" s="7">
        <f>('Imputed Data'!U83-'Imputed Data'!U71)/'Imputed Data'!U71</f>
        <v>9.5367847411442584E-3</v>
      </c>
      <c r="V83" s="7">
        <f>('Imputed Data'!V83-'Imputed Data'!V71)/'Imputed Data'!V71</f>
        <v>4.1524846834581311E-2</v>
      </c>
      <c r="W83" s="7">
        <f>('Imputed Data'!W83-'Imputed Data'!W71)/'Imputed Data'!W71</f>
        <v>-3.2346868547832183E-2</v>
      </c>
      <c r="X83" s="7">
        <f>('Imputed Data'!X83-'Imputed Data'!X71)/'Imputed Data'!X71</f>
        <v>1.969057665260205E-2</v>
      </c>
      <c r="Y83" s="7">
        <f>('Imputed Data'!Y83-'Imputed Data'!Y71)/'Imputed Data'!Y71</f>
        <v>5.1372273047149974E-2</v>
      </c>
      <c r="Z83" s="7">
        <f>('Imputed Data'!Z83-'Imputed Data'!Z71)/'Imputed Data'!Z71</f>
        <v>6.3745019920318502E-3</v>
      </c>
      <c r="AA83" s="7">
        <f>('Imputed Data'!AA83-'Imputed Data'!AA71)/'Imputed Data'!AA71</f>
        <v>3.8095238095238015E-2</v>
      </c>
      <c r="AB83" s="7">
        <f>('Imputed Data'!AB83-'Imputed Data'!AB71)/'Imputed Data'!AB71</f>
        <v>5.1420838971583178E-2</v>
      </c>
      <c r="AC83" s="7">
        <f>('Imputed Data'!AC83-'Imputed Data'!AC71)/'Imputed Data'!AC71</f>
        <v>6.0606060606060608E-2</v>
      </c>
      <c r="AD83" s="7">
        <f>('Imputed Data'!AD83-'Imputed Data'!AD71)/'Imputed Data'!AD71</f>
        <v>3.4482758620689571E-2</v>
      </c>
      <c r="AE83" s="7">
        <f>('Imputed Data'!AE83-'Imputed Data'!AE71)/'Imputed Data'!AE71</f>
        <v>4.5454545454545289E-2</v>
      </c>
    </row>
    <row r="84" spans="1:31" x14ac:dyDescent="0.25">
      <c r="A84" s="1">
        <f>'Imputed Data'!A84</f>
        <v>43770</v>
      </c>
      <c r="B84" s="1" t="str">
        <f>'Imputed Data'!B84</f>
        <v>Rural+Urban</v>
      </c>
      <c r="C84" s="2">
        <f>'Imputed Data'!C84</f>
        <v>2019</v>
      </c>
      <c r="D84" s="1" t="str">
        <f>'Imputed Data'!D84</f>
        <v>November</v>
      </c>
      <c r="E84" s="7">
        <f>('Imputed Data'!E84-'Imputed Data'!E72)/'Imputed Data'!E72</f>
        <v>3.7117903930130959E-2</v>
      </c>
      <c r="F84" s="7">
        <f>('Imputed Data'!F84-'Imputed Data'!F72)/'Imputed Data'!F72</f>
        <v>9.3833780160857916E-2</v>
      </c>
      <c r="G84" s="7">
        <f>('Imputed Data'!G84-'Imputed Data'!G72)/'Imputed Data'!G72</f>
        <v>6.1998541210795045E-2</v>
      </c>
      <c r="H84" s="7">
        <f>('Imputed Data'!H84-'Imputed Data'!H72)/'Imputed Data'!H72</f>
        <v>3.4555712270803784E-2</v>
      </c>
      <c r="I84" s="7">
        <f>('Imputed Data'!I84-'Imputed Data'!I72)/'Imputed Data'!I72</f>
        <v>2.6424442609413731E-2</v>
      </c>
      <c r="J84" s="7">
        <f>('Imputed Data'!J84-'Imputed Data'!J72)/'Imputed Data'!J72</f>
        <v>3.221288515406158E-2</v>
      </c>
      <c r="K84" s="7">
        <f>('Imputed Data'!K84-'Imputed Data'!K72)/'Imputed Data'!K72</f>
        <v>0.36059986366734842</v>
      </c>
      <c r="L84" s="7">
        <f>('Imputed Data'!L84-'Imputed Data'!L72)/'Imputed Data'!L72</f>
        <v>0.13937867338371113</v>
      </c>
      <c r="M84" s="7">
        <f>('Imputed Data'!M84-'Imputed Data'!M72)/'Imputed Data'!M72</f>
        <v>2.055406613047361E-2</v>
      </c>
      <c r="N84" s="7">
        <f>('Imputed Data'!N84-'Imputed Data'!N72)/'Imputed Data'!N72</f>
        <v>4.3293115684882852E-2</v>
      </c>
      <c r="O84" s="7">
        <f>('Imputed Data'!O84-'Imputed Data'!O72)/'Imputed Data'!O72</f>
        <v>1.3483146067415816E-2</v>
      </c>
      <c r="P84" s="7">
        <f>('Imputed Data'!P84-'Imputed Data'!P72)/'Imputed Data'!P72</f>
        <v>1.9417475728155338E-2</v>
      </c>
      <c r="Q84" s="7">
        <f>('Imputed Data'!Q84-'Imputed Data'!Q72)/'Imputed Data'!Q72</f>
        <v>8.7329992841803997E-2</v>
      </c>
      <c r="R84" s="7">
        <f>('Imputed Data'!R84-'Imputed Data'!R72)/'Imputed Data'!R72</f>
        <v>3.2595325953259605E-2</v>
      </c>
      <c r="S84" s="7">
        <f>('Imputed Data'!S84-'Imputed Data'!S72)/'Imputed Data'!S72</f>
        <v>1.2837837837837877E-2</v>
      </c>
      <c r="T84" s="7">
        <f>('Imputed Data'!T84-'Imputed Data'!T72)/'Imputed Data'!T72</f>
        <v>1.365923795830342E-2</v>
      </c>
      <c r="U84" s="7">
        <f>('Imputed Data'!U84-'Imputed Data'!U72)/'Imputed Data'!U72</f>
        <v>1.2951601908657163E-2</v>
      </c>
      <c r="V84" s="7">
        <f>('Imputed Data'!V84-'Imputed Data'!V72)/'Imputed Data'!V72</f>
        <v>4.4928522804628959E-2</v>
      </c>
      <c r="W84" s="7">
        <f>('Imputed Data'!W84-'Imputed Data'!W72)/'Imputed Data'!W72</f>
        <v>-1.929703652653331E-2</v>
      </c>
      <c r="X84" s="7">
        <f>('Imputed Data'!X84-'Imputed Data'!X72)/'Imputed Data'!X72</f>
        <v>2.1800281293952343E-2</v>
      </c>
      <c r="Y84" s="7">
        <f>('Imputed Data'!Y84-'Imputed Data'!Y72)/'Imputed Data'!Y72</f>
        <v>5.4890921885995862E-2</v>
      </c>
      <c r="Z84" s="7">
        <f>('Imputed Data'!Z84-'Imputed Data'!Z72)/'Imputed Data'!Z72</f>
        <v>8.7649402390437801E-3</v>
      </c>
      <c r="AA84" s="7">
        <f>('Imputed Data'!AA84-'Imputed Data'!AA72)/'Imputed Data'!AA72</f>
        <v>4.1025641025640984E-2</v>
      </c>
      <c r="AB84" s="7">
        <f>('Imputed Data'!AB84-'Imputed Data'!AB72)/'Imputed Data'!AB72</f>
        <v>5.2097428958051341E-2</v>
      </c>
      <c r="AC84" s="7">
        <f>('Imputed Data'!AC84-'Imputed Data'!AC72)/'Imputed Data'!AC72</f>
        <v>6.2878787878787964E-2</v>
      </c>
      <c r="AD84" s="7">
        <f>('Imputed Data'!AD84-'Imputed Data'!AD72)/'Imputed Data'!AD72</f>
        <v>3.6683785766691117E-2</v>
      </c>
      <c r="AE84" s="7">
        <f>('Imputed Data'!AE84-'Imputed Data'!AE72)/'Imputed Data'!AE72</f>
        <v>5.5397727272727147E-2</v>
      </c>
    </row>
    <row r="85" spans="1:31" x14ac:dyDescent="0.25">
      <c r="A85" s="1">
        <f>'Imputed Data'!A85</f>
        <v>43800</v>
      </c>
      <c r="B85" s="1" t="str">
        <f>'Imputed Data'!B85</f>
        <v>Rural+Urban</v>
      </c>
      <c r="C85" s="2">
        <f>'Imputed Data'!C85</f>
        <v>2019</v>
      </c>
      <c r="D85" s="1" t="str">
        <f>'Imputed Data'!D85</f>
        <v>December</v>
      </c>
      <c r="E85" s="7">
        <f>('Imputed Data'!E85-'Imputed Data'!E73)/'Imputed Data'!E73</f>
        <v>4.363636363636364E-2</v>
      </c>
      <c r="F85" s="7">
        <f>('Imputed Data'!F85-'Imputed Data'!F73)/'Imputed Data'!F73</f>
        <v>9.634551495016612E-2</v>
      </c>
      <c r="G85" s="7">
        <f>('Imputed Data'!G85-'Imputed Data'!G73)/'Imputed Data'!G73</f>
        <v>8.8616714697406215E-2</v>
      </c>
      <c r="H85" s="7">
        <f>('Imputed Data'!H85-'Imputed Data'!H73)/'Imputed Data'!H73</f>
        <v>4.3631245601689073E-2</v>
      </c>
      <c r="I85" s="7">
        <f>('Imputed Data'!I85-'Imputed Data'!I73)/'Imputed Data'!I73</f>
        <v>3.0327868852459038E-2</v>
      </c>
      <c r="J85" s="7">
        <f>('Imputed Data'!J85-'Imputed Data'!J73)/'Imputed Data'!J73</f>
        <v>4.5193687230989835E-2</v>
      </c>
      <c r="K85" s="7">
        <f>('Imputed Data'!K85-'Imputed Data'!K73)/'Imputed Data'!K73</f>
        <v>0.60502958579881672</v>
      </c>
      <c r="L85" s="7">
        <f>('Imputed Data'!L85-'Imputed Data'!L73)/'Imputed Data'!L73</f>
        <v>0.1544240400667781</v>
      </c>
      <c r="M85" s="7">
        <f>('Imputed Data'!M85-'Imputed Data'!M73)/'Imputed Data'!M73</f>
        <v>3.3544877606527676E-2</v>
      </c>
      <c r="N85" s="7">
        <f>('Imputed Data'!N85-'Imputed Data'!N73)/'Imputed Data'!N73</f>
        <v>5.7610241820768099E-2</v>
      </c>
      <c r="O85" s="7">
        <f>('Imputed Data'!O85-'Imputed Data'!O73)/'Imputed Data'!O73</f>
        <v>1.4947683109118086E-2</v>
      </c>
      <c r="P85" s="7">
        <f>('Imputed Data'!P85-'Imputed Data'!P73)/'Imputed Data'!P73</f>
        <v>2.1992238033635224E-2</v>
      </c>
      <c r="Q85" s="7">
        <f>('Imputed Data'!Q85-'Imputed Data'!Q73)/'Imputed Data'!Q73</f>
        <v>0.12156295224312599</v>
      </c>
      <c r="R85" s="7">
        <f>('Imputed Data'!R85-'Imputed Data'!R73)/'Imputed Data'!R73</f>
        <v>3.3742331288343558E-2</v>
      </c>
      <c r="S85" s="7">
        <f>('Imputed Data'!S85-'Imputed Data'!S73)/'Imputed Data'!S73</f>
        <v>1.4854827819041305E-2</v>
      </c>
      <c r="T85" s="7">
        <f>('Imputed Data'!T85-'Imputed Data'!T73)/'Imputed Data'!T73</f>
        <v>1.3629842180774789E-2</v>
      </c>
      <c r="U85" s="7">
        <f>('Imputed Data'!U85-'Imputed Data'!U73)/'Imputed Data'!U73</f>
        <v>1.4986376021798286E-2</v>
      </c>
      <c r="V85" s="7">
        <f>('Imputed Data'!V85-'Imputed Data'!V73)/'Imputed Data'!V73</f>
        <v>4.3003412969283353E-2</v>
      </c>
      <c r="W85" s="7">
        <f>('Imputed Data'!W85-'Imputed Data'!W73)/'Imputed Data'!W73</f>
        <v>7.0077084793272607E-3</v>
      </c>
      <c r="X85" s="7">
        <f>('Imputed Data'!X85-'Imputed Data'!X73)/'Imputed Data'!X73</f>
        <v>1.8156424581005748E-2</v>
      </c>
      <c r="Y85" s="7">
        <f>('Imputed Data'!Y85-'Imputed Data'!Y73)/'Imputed Data'!Y73</f>
        <v>3.7957211870255345E-2</v>
      </c>
      <c r="Z85" s="7">
        <f>('Imputed Data'!Z85-'Imputed Data'!Z73)/'Imputed Data'!Z73</f>
        <v>5.0161812297734767E-2</v>
      </c>
      <c r="AA85" s="7">
        <f>('Imputed Data'!AA85-'Imputed Data'!AA73)/'Imputed Data'!AA73</f>
        <v>4.0204678362573097E-2</v>
      </c>
      <c r="AB85" s="7">
        <f>('Imputed Data'!AB85-'Imputed Data'!AB73)/'Imputed Data'!AB73</f>
        <v>3.7308461025982641E-2</v>
      </c>
      <c r="AC85" s="7">
        <f>('Imputed Data'!AC85-'Imputed Data'!AC73)/'Imputed Data'!AC73</f>
        <v>6.2027231467473659E-2</v>
      </c>
      <c r="AD85" s="7">
        <f>('Imputed Data'!AD85-'Imputed Data'!AD73)/'Imputed Data'!AD73</f>
        <v>4.1666666666666581E-2</v>
      </c>
      <c r="AE85" s="7">
        <f>('Imputed Data'!AE85-'Imputed Data'!AE73)/'Imputed Data'!AE73</f>
        <v>7.3518915060671028E-2</v>
      </c>
    </row>
    <row r="86" spans="1:31" x14ac:dyDescent="0.25">
      <c r="A86" s="1">
        <f>'Imputed Data'!A86</f>
        <v>43831</v>
      </c>
      <c r="B86" s="1" t="str">
        <f>'Imputed Data'!B86</f>
        <v>Rural+Urban</v>
      </c>
      <c r="C86" s="2">
        <f>'Imputed Data'!C86</f>
        <v>2020</v>
      </c>
      <c r="D86" s="1" t="str">
        <f>'Imputed Data'!D86</f>
        <v>January</v>
      </c>
      <c r="E86" s="7">
        <f>('Imputed Data'!E86-'Imputed Data'!E74)/'Imputed Data'!E74</f>
        <v>5.2516411378555929E-2</v>
      </c>
      <c r="F86" s="7">
        <f>('Imputed Data'!F86-'Imputed Data'!F74)/'Imputed Data'!F74</f>
        <v>0.10568031704095111</v>
      </c>
      <c r="G86" s="7">
        <f>('Imputed Data'!G86-'Imputed Data'!G74)/'Imputed Data'!G74</f>
        <v>0.10485021398002867</v>
      </c>
      <c r="H86" s="7">
        <f>('Imputed Data'!H86-'Imputed Data'!H74)/'Imputed Data'!H74</f>
        <v>5.6298381421534135E-2</v>
      </c>
      <c r="I86" s="7">
        <f>('Imputed Data'!I86-'Imputed Data'!I74)/'Imputed Data'!I74</f>
        <v>6.6502463054187264E-2</v>
      </c>
      <c r="J86" s="7">
        <f>('Imputed Data'!J86-'Imputed Data'!J74)/'Imputed Data'!J74</f>
        <v>5.7607090103397214E-2</v>
      </c>
      <c r="K86" s="7">
        <f>('Imputed Data'!K86-'Imputed Data'!K74)/'Imputed Data'!K74</f>
        <v>0.50038080731150025</v>
      </c>
      <c r="L86" s="7">
        <f>('Imputed Data'!L86-'Imputed Data'!L74)/'Imputed Data'!L74</f>
        <v>0.16708229426433924</v>
      </c>
      <c r="M86" s="7">
        <f>('Imputed Data'!M86-'Imputed Data'!M74)/'Imputed Data'!M74</f>
        <v>4.5829514207149404E-2</v>
      </c>
      <c r="N86" s="7">
        <f>('Imputed Data'!N86-'Imputed Data'!N74)/'Imputed Data'!N74</f>
        <v>8.2496413199426105E-2</v>
      </c>
      <c r="O86" s="7">
        <f>('Imputed Data'!O86-'Imputed Data'!O74)/'Imputed Data'!O74</f>
        <v>2.1005251312828079E-2</v>
      </c>
      <c r="P86" s="7">
        <f>('Imputed Data'!P86-'Imputed Data'!P74)/'Imputed Data'!P74</f>
        <v>2.5873221216041398E-2</v>
      </c>
      <c r="Q86" s="7">
        <f>('Imputed Data'!Q86-'Imputed Data'!Q74)/'Imputed Data'!Q74</f>
        <v>0.11717612809315861</v>
      </c>
      <c r="R86" s="7">
        <f>('Imputed Data'!R86-'Imputed Data'!R74)/'Imputed Data'!R74</f>
        <v>3.6764705882352942E-2</v>
      </c>
      <c r="S86" s="7">
        <f>('Imputed Data'!S86-'Imputed Data'!S74)/'Imputed Data'!S74</f>
        <v>1.9647696476964811E-2</v>
      </c>
      <c r="T86" s="7">
        <f>('Imputed Data'!T86-'Imputed Data'!T74)/'Imputed Data'!T74</f>
        <v>1.7985611510791366E-2</v>
      </c>
      <c r="U86" s="7">
        <f>('Imputed Data'!U86-'Imputed Data'!U74)/'Imputed Data'!U74</f>
        <v>1.9125683060109172E-2</v>
      </c>
      <c r="V86" s="7">
        <f>('Imputed Data'!V86-'Imputed Data'!V74)/'Imputed Data'!V74</f>
        <v>4.1976980365606077E-2</v>
      </c>
      <c r="W86" s="7">
        <f>('Imputed Data'!W86-'Imputed Data'!W74)/'Imputed Data'!W74</f>
        <v>3.6559139784946196E-2</v>
      </c>
      <c r="X86" s="7">
        <f>('Imputed Data'!X86-'Imputed Data'!X74)/'Imputed Data'!X74</f>
        <v>1.8105849582172664E-2</v>
      </c>
      <c r="Y86" s="7">
        <f>('Imputed Data'!Y86-'Imputed Data'!Y74)/'Imputed Data'!Y74</f>
        <v>4.2039972432804926E-2</v>
      </c>
      <c r="Z86" s="7">
        <f>('Imputed Data'!Z86-'Imputed Data'!Z74)/'Imputed Data'!Z74</f>
        <v>6.1638280616382879E-2</v>
      </c>
      <c r="AA86" s="7">
        <f>('Imputed Data'!AA86-'Imputed Data'!AA74)/'Imputed Data'!AA74</f>
        <v>4.4623262618873616E-2</v>
      </c>
      <c r="AB86" s="7">
        <f>('Imputed Data'!AB86-'Imputed Data'!AB74)/'Imputed Data'!AB74</f>
        <v>3.9280958721704437E-2</v>
      </c>
      <c r="AC86" s="7">
        <f>('Imputed Data'!AC86-'Imputed Data'!AC74)/'Imputed Data'!AC74</f>
        <v>7.153614457831324E-2</v>
      </c>
      <c r="AD86" s="7">
        <f>('Imputed Data'!AD86-'Imputed Data'!AD74)/'Imputed Data'!AD74</f>
        <v>4.7479912344777206E-2</v>
      </c>
      <c r="AE86" s="7">
        <f>('Imputed Data'!AE86-'Imputed Data'!AE74)/'Imputed Data'!AE74</f>
        <v>7.5931232091690504E-2</v>
      </c>
    </row>
    <row r="87" spans="1:31" x14ac:dyDescent="0.25">
      <c r="A87" s="1">
        <f>'Imputed Data'!A87</f>
        <v>43862</v>
      </c>
      <c r="B87" s="1" t="str">
        <f>'Imputed Data'!B87</f>
        <v>Rural+Urban</v>
      </c>
      <c r="C87" s="2">
        <f>'Imputed Data'!C87</f>
        <v>2020</v>
      </c>
      <c r="D87" s="1" t="str">
        <f>'Imputed Data'!D87</f>
        <v>February</v>
      </c>
      <c r="E87" s="7">
        <f>('Imputed Data'!E87-'Imputed Data'!E75)/'Imputed Data'!E75</f>
        <v>5.2325581395348965E-2</v>
      </c>
      <c r="F87" s="7">
        <f>('Imputed Data'!F87-'Imputed Data'!F75)/'Imputed Data'!F75</f>
        <v>0.10197368421052631</v>
      </c>
      <c r="G87" s="7">
        <f>('Imputed Data'!G87-'Imputed Data'!G75)/'Imputed Data'!G75</f>
        <v>7.2791519434629054E-2</v>
      </c>
      <c r="H87" s="7">
        <f>('Imputed Data'!H87-'Imputed Data'!H75)/'Imputed Data'!H75</f>
        <v>6.0478199718706216E-2</v>
      </c>
      <c r="I87" s="7">
        <f>('Imputed Data'!I87-'Imputed Data'!I75)/'Imputed Data'!I75</f>
        <v>7.7049180327868894E-2</v>
      </c>
      <c r="J87" s="7">
        <f>('Imputed Data'!J87-'Imputed Data'!J75)/'Imputed Data'!J75</f>
        <v>3.9589442815249308E-2</v>
      </c>
      <c r="K87" s="7">
        <f>('Imputed Data'!K87-'Imputed Data'!K75)/'Imputed Data'!K75</f>
        <v>0.31611410948342333</v>
      </c>
      <c r="L87" s="7">
        <f>('Imputed Data'!L87-'Imputed Data'!L75)/'Imputed Data'!L75</f>
        <v>0.16611570247933879</v>
      </c>
      <c r="M87" s="7">
        <f>('Imputed Data'!M87-'Imputed Data'!M75)/'Imputed Data'!M75</f>
        <v>4.2201834862385268E-2</v>
      </c>
      <c r="N87" s="7">
        <f>('Imputed Data'!N87-'Imputed Data'!N75)/'Imputed Data'!N75</f>
        <v>8.8045812455261357E-2</v>
      </c>
      <c r="O87" s="7">
        <f>('Imputed Data'!O87-'Imputed Data'!O75)/'Imputed Data'!O75</f>
        <v>2.1706586826347348E-2</v>
      </c>
      <c r="P87" s="7">
        <f>('Imputed Data'!P87-'Imputed Data'!P75)/'Imputed Data'!P75</f>
        <v>2.7114267269205863E-2</v>
      </c>
      <c r="Q87" s="7">
        <f>('Imputed Data'!Q87-'Imputed Data'!Q75)/'Imputed Data'!Q75</f>
        <v>9.4545454545454544E-2</v>
      </c>
      <c r="R87" s="7">
        <f>('Imputed Data'!R87-'Imputed Data'!R75)/'Imputed Data'!R75</f>
        <v>4.1003671970624163E-2</v>
      </c>
      <c r="S87" s="7">
        <f>('Imputed Data'!S87-'Imputed Data'!S75)/'Imputed Data'!S75</f>
        <v>2.0988490182803136E-2</v>
      </c>
      <c r="T87" s="7">
        <f>('Imputed Data'!T87-'Imputed Data'!T75)/'Imputed Data'!T75</f>
        <v>1.4316392269148177E-2</v>
      </c>
      <c r="U87" s="7">
        <f>('Imputed Data'!U87-'Imputed Data'!U75)/'Imputed Data'!U75</f>
        <v>2.0477815699658702E-2</v>
      </c>
      <c r="V87" s="7">
        <f>('Imputed Data'!V87-'Imputed Data'!V75)/'Imputed Data'!V75</f>
        <v>4.2424242424242503E-2</v>
      </c>
      <c r="W87" s="7">
        <f>('Imputed Data'!W87-'Imputed Data'!W75)/'Imputed Data'!W75</f>
        <v>6.3583815028901605E-2</v>
      </c>
      <c r="X87" s="7">
        <f>('Imputed Data'!X87-'Imputed Data'!X75)/'Imputed Data'!X75</f>
        <v>1.8789144050104505E-2</v>
      </c>
      <c r="Y87" s="7">
        <f>('Imputed Data'!Y87-'Imputed Data'!Y75)/'Imputed Data'!Y75</f>
        <v>4.1895604395604358E-2</v>
      </c>
      <c r="Z87" s="7">
        <f>('Imputed Data'!Z87-'Imputed Data'!Z75)/'Imputed Data'!Z75</f>
        <v>5.1654560129136447E-2</v>
      </c>
      <c r="AA87" s="7">
        <f>('Imputed Data'!AA87-'Imputed Data'!AA75)/'Imputed Data'!AA75</f>
        <v>4.4493070751276398E-2</v>
      </c>
      <c r="AB87" s="7">
        <f>('Imputed Data'!AB87-'Imputed Data'!AB75)/'Imputed Data'!AB75</f>
        <v>3.9254823685961254E-2</v>
      </c>
      <c r="AC87" s="7">
        <f>('Imputed Data'!AC87-'Imputed Data'!AC75)/'Imputed Data'!AC75</f>
        <v>6.9351230425056018E-2</v>
      </c>
      <c r="AD87" s="7">
        <f>('Imputed Data'!AD87-'Imputed Data'!AD75)/'Imputed Data'!AD75</f>
        <v>4.5123726346433683E-2</v>
      </c>
      <c r="AE87" s="7">
        <f>('Imputed Data'!AE87-'Imputed Data'!AE75)/'Imputed Data'!AE75</f>
        <v>6.5761258041458104E-2</v>
      </c>
    </row>
    <row r="88" spans="1:31" x14ac:dyDescent="0.25">
      <c r="A88" s="1">
        <f>'Imputed Data'!A88</f>
        <v>43891</v>
      </c>
      <c r="B88" s="1" t="str">
        <f>'Imputed Data'!B88</f>
        <v>Rural+Urban</v>
      </c>
      <c r="C88" s="2">
        <f>'Imputed Data'!C88</f>
        <v>2020</v>
      </c>
      <c r="D88" s="1" t="str">
        <f>'Imputed Data'!D88</f>
        <v>March</v>
      </c>
      <c r="E88" s="7">
        <f>('Imputed Data'!E88-'Imputed Data'!E76)/'Imputed Data'!E76</f>
        <v>5.2975326560232093E-2</v>
      </c>
      <c r="F88" s="7">
        <f>('Imputed Data'!F88-'Imputed Data'!F76)/'Imputed Data'!F76</f>
        <v>9.1503267973856203E-2</v>
      </c>
      <c r="G88" s="7">
        <f>('Imputed Data'!G88-'Imputed Data'!G76)/'Imputed Data'!G76</f>
        <v>5.5595153243050477E-2</v>
      </c>
      <c r="H88" s="7">
        <f>('Imputed Data'!H88-'Imputed Data'!H76)/'Imputed Data'!H76</f>
        <v>6.4652143359100411E-2</v>
      </c>
      <c r="I88" s="7">
        <f>('Imputed Data'!I88-'Imputed Data'!I76)/'Imputed Data'!I76</f>
        <v>7.5409836065573679E-2</v>
      </c>
      <c r="J88" s="7">
        <f>('Imputed Data'!J88-'Imputed Data'!J76)/'Imputed Data'!J76</f>
        <v>3.5610465116279112E-2</v>
      </c>
      <c r="K88" s="7">
        <f>('Imputed Data'!K88-'Imputed Data'!K76)/'Imputed Data'!K76</f>
        <v>0.18627450980392171</v>
      </c>
      <c r="L88" s="7">
        <f>('Imputed Data'!L88-'Imputed Data'!L76)/'Imputed Data'!L76</f>
        <v>0.15845648604269291</v>
      </c>
      <c r="M88" s="7">
        <f>('Imputed Data'!M88-'Imputed Data'!M76)/'Imputed Data'!M76</f>
        <v>3.8532110091743142E-2</v>
      </c>
      <c r="N88" s="7">
        <f>('Imputed Data'!N88-'Imputed Data'!N76)/'Imputed Data'!N76</f>
        <v>9.8207885304659417E-2</v>
      </c>
      <c r="O88" s="7">
        <f>('Imputed Data'!O88-'Imputed Data'!O76)/'Imputed Data'!O76</f>
        <v>2.243829468960359E-2</v>
      </c>
      <c r="P88" s="7">
        <f>('Imputed Data'!P88-'Imputed Data'!P76)/'Imputed Data'!P76</f>
        <v>2.8350515463917564E-2</v>
      </c>
      <c r="Q88" s="7">
        <f>('Imputed Data'!Q88-'Imputed Data'!Q76)/'Imputed Data'!Q76</f>
        <v>7.8204199855177486E-2</v>
      </c>
      <c r="R88" s="7">
        <f>('Imputed Data'!R88-'Imputed Data'!R76)/'Imputed Data'!R76</f>
        <v>4.7094801223241521E-2</v>
      </c>
      <c r="S88" s="7">
        <f>('Imputed Data'!S88-'Imputed Data'!S76)/'Imputed Data'!S76</f>
        <v>2.2312373225152015E-2</v>
      </c>
      <c r="T88" s="7">
        <f>('Imputed Data'!T88-'Imputed Data'!T76)/'Imputed Data'!T76</f>
        <v>1.4295925661186561E-2</v>
      </c>
      <c r="U88" s="7">
        <f>('Imputed Data'!U88-'Imputed Data'!U76)/'Imputed Data'!U76</f>
        <v>2.1131561008861779E-2</v>
      </c>
      <c r="V88" s="7">
        <f>('Imputed Data'!V88-'Imputed Data'!V76)/'Imputed Data'!V76</f>
        <v>3.6912751677852351E-2</v>
      </c>
      <c r="W88" s="7">
        <f>('Imputed Data'!W88-'Imputed Data'!W76)/'Imputed Data'!W76</f>
        <v>6.585540443808173E-2</v>
      </c>
      <c r="X88" s="7">
        <f>('Imputed Data'!X88-'Imputed Data'!X76)/'Imputed Data'!X76</f>
        <v>1.8080667593880349E-2</v>
      </c>
      <c r="Y88" s="7">
        <f>('Imputed Data'!Y88-'Imputed Data'!Y76)/'Imputed Data'!Y76</f>
        <v>4.1723666210670474E-2</v>
      </c>
      <c r="Z88" s="7">
        <f>('Imputed Data'!Z88-'Imputed Data'!Z76)/'Imputed Data'!Z76</f>
        <v>4.2536115569823528E-2</v>
      </c>
      <c r="AA88" s="7">
        <f>('Imputed Data'!AA88-'Imputed Data'!AA76)/'Imputed Data'!AA76</f>
        <v>4.357298474945534E-2</v>
      </c>
      <c r="AB88" s="7">
        <f>('Imputed Data'!AB88-'Imputed Data'!AB76)/'Imputed Data'!AB76</f>
        <v>3.858948769128398E-2</v>
      </c>
      <c r="AC88" s="7">
        <f>('Imputed Data'!AC88-'Imputed Data'!AC76)/'Imputed Data'!AC76</f>
        <v>8.8455772113942899E-2</v>
      </c>
      <c r="AD88" s="7">
        <f>('Imputed Data'!AD88-'Imputed Data'!AD76)/'Imputed Data'!AD76</f>
        <v>4.4299201161946432E-2</v>
      </c>
      <c r="AE88" s="7">
        <f>('Imputed Data'!AE88-'Imputed Data'!AE76)/'Imputed Data'!AE76</f>
        <v>5.840455840455832E-2</v>
      </c>
    </row>
    <row r="89" spans="1:31" x14ac:dyDescent="0.25">
      <c r="A89" s="1">
        <f>'Imputed Data'!A89</f>
        <v>43922</v>
      </c>
      <c r="B89" s="1" t="str">
        <f>'Imputed Data'!B89</f>
        <v>Rural+Urban</v>
      </c>
      <c r="C89" s="2">
        <f>'Imputed Data'!C89</f>
        <v>2020</v>
      </c>
      <c r="D89" s="1" t="str">
        <f>'Imputed Data'!D89</f>
        <v>April</v>
      </c>
      <c r="E89" s="7">
        <f>('Imputed Data'!E89-'Imputed Data'!E77)/'Imputed Data'!E77</f>
        <v>7.7145961608112837E-2</v>
      </c>
      <c r="F89" s="7">
        <f>('Imputed Data'!F89-'Imputed Data'!F77)/'Imputed Data'!F77</f>
        <v>0.1272338148742643</v>
      </c>
      <c r="G89" s="7">
        <f>('Imputed Data'!G89-'Imputed Data'!G77)/'Imputed Data'!G77</f>
        <v>7.7090119435396343E-2</v>
      </c>
      <c r="H89" s="7">
        <f>('Imputed Data'!H89-'Imputed Data'!H77)/'Imputed Data'!H77</f>
        <v>9.2696629213483067E-2</v>
      </c>
      <c r="I89" s="7">
        <f>('Imputed Data'!I89-'Imputed Data'!I77)/'Imputed Data'!I77</f>
        <v>0.10737704918032782</v>
      </c>
      <c r="J89" s="7">
        <f>('Imputed Data'!J89-'Imputed Data'!J77)/'Imputed Data'!J77</f>
        <v>5.526223160858848E-2</v>
      </c>
      <c r="K89" s="7">
        <f>('Imputed Data'!K89-'Imputed Data'!K77)/'Imputed Data'!K77</f>
        <v>0.22351233671988374</v>
      </c>
      <c r="L89" s="7">
        <f>('Imputed Data'!L89-'Imputed Data'!L77)/'Imputed Data'!L77</f>
        <v>0.21929468990676945</v>
      </c>
      <c r="M89" s="7">
        <f>('Imputed Data'!M89-'Imputed Data'!M77)/'Imputed Data'!M77</f>
        <v>9.9132023755139284E-2</v>
      </c>
      <c r="N89" s="7">
        <f>('Imputed Data'!N89-'Imputed Data'!N77)/'Imputed Data'!N77</f>
        <v>0.12455261274158917</v>
      </c>
      <c r="O89" s="7">
        <f>('Imputed Data'!O89-'Imputed Data'!O77)/'Imputed Data'!O77</f>
        <v>2.2039596563317273E-2</v>
      </c>
      <c r="P89" s="7">
        <f>('Imputed Data'!P89-'Imputed Data'!P77)/'Imputed Data'!P77</f>
        <v>3.2078103207810418E-2</v>
      </c>
      <c r="Q89" s="7">
        <f>('Imputed Data'!Q89-'Imputed Data'!Q77)/'Imputed Data'!Q77</f>
        <v>8.5304659498207924E-2</v>
      </c>
      <c r="R89" s="7">
        <f>('Imputed Data'!R89-'Imputed Data'!R77)/'Imputed Data'!R77</f>
        <v>7.0207570207570028E-2</v>
      </c>
      <c r="S89" s="7">
        <f>('Imputed Data'!S89-'Imputed Data'!S77)/'Imputed Data'!S77</f>
        <v>2.3512206097423691E-2</v>
      </c>
      <c r="T89" s="7">
        <f>('Imputed Data'!T89-'Imputed Data'!T77)/'Imputed Data'!T77</f>
        <v>1.8432631704126599E-2</v>
      </c>
      <c r="U89" s="7">
        <f>('Imputed Data'!U89-'Imputed Data'!U77)/'Imputed Data'!U77</f>
        <v>2.2675736961451313E-2</v>
      </c>
      <c r="V89" s="7">
        <f>('Imputed Data'!V89-'Imputed Data'!V77)/'Imputed Data'!V77</f>
        <v>4.0454697425610045E-2</v>
      </c>
      <c r="W89" s="7">
        <f>('Imputed Data'!W89-'Imputed Data'!W77)/'Imputed Data'!W77</f>
        <v>2.9285714285714245E-2</v>
      </c>
      <c r="X89" s="7">
        <f>('Imputed Data'!X89-'Imputed Data'!X77)/'Imputed Data'!X77</f>
        <v>1.8434782608695691E-2</v>
      </c>
      <c r="Y89" s="7">
        <f>('Imputed Data'!Y89-'Imputed Data'!Y77)/'Imputed Data'!Y77</f>
        <v>2.8317980211531743E-2</v>
      </c>
      <c r="Z89" s="7">
        <f>('Imputed Data'!Z89-'Imputed Data'!Z77)/'Imputed Data'!Z77</f>
        <v>5.4909819639278511E-2</v>
      </c>
      <c r="AA89" s="7">
        <f>('Imputed Data'!AA89-'Imputed Data'!AA77)/'Imputed Data'!AA77</f>
        <v>4.8994823642710954E-2</v>
      </c>
      <c r="AB89" s="7">
        <f>('Imputed Data'!AB89-'Imputed Data'!AB77)/'Imputed Data'!AB77</f>
        <v>3.4779728386883077E-2</v>
      </c>
      <c r="AC89" s="7">
        <f>('Imputed Data'!AC89-'Imputed Data'!AC77)/'Imputed Data'!AC77</f>
        <v>0.10444777611194384</v>
      </c>
      <c r="AD89" s="7">
        <f>('Imputed Data'!AD89-'Imputed Data'!AD77)/'Imputed Data'!AD77</f>
        <v>5.013893922918946E-2</v>
      </c>
      <c r="AE89" s="7">
        <f>('Imputed Data'!AE89-'Imputed Data'!AE77)/'Imputed Data'!AE77</f>
        <v>5.9962228517469331E-2</v>
      </c>
    </row>
    <row r="90" spans="1:31" x14ac:dyDescent="0.25">
      <c r="A90" s="1">
        <f>'Imputed Data'!A90</f>
        <v>43952</v>
      </c>
      <c r="B90" s="1" t="str">
        <f>'Imputed Data'!B90</f>
        <v>Rural+Urban</v>
      </c>
      <c r="C90" s="2">
        <f>'Imputed Data'!C90</f>
        <v>2020</v>
      </c>
      <c r="D90" s="1" t="str">
        <f>'Imputed Data'!D90</f>
        <v>May</v>
      </c>
      <c r="E90" s="7">
        <f>('Imputed Data'!E90-'Imputed Data'!E78)/'Imputed Data'!E78</f>
        <v>7.0860448300795242E-2</v>
      </c>
      <c r="F90" s="7">
        <f>('Imputed Data'!F90-'Imputed Data'!F78)/'Imputed Data'!F78</f>
        <v>0.16172450052576232</v>
      </c>
      <c r="G90" s="7">
        <f>('Imputed Data'!G90-'Imputed Data'!G78)/'Imputed Data'!G78</f>
        <v>0.1051470588235295</v>
      </c>
      <c r="H90" s="7">
        <f>('Imputed Data'!H90-'Imputed Data'!H78)/'Imputed Data'!H78</f>
        <v>7.1578947368421172E-2</v>
      </c>
      <c r="I90" s="7">
        <f>('Imputed Data'!I90-'Imputed Data'!I78)/'Imputed Data'!I78</f>
        <v>0.10327868852459011</v>
      </c>
      <c r="J90" s="7">
        <f>('Imputed Data'!J90-'Imputed Data'!J78)/'Imputed Data'!J78</f>
        <v>-5.9158134243458994E-3</v>
      </c>
      <c r="K90" s="7">
        <f>('Imputed Data'!K90-'Imputed Data'!K78)/'Imputed Data'!K78</f>
        <v>9.6270396270396366E-2</v>
      </c>
      <c r="L90" s="7">
        <f>('Imputed Data'!L90-'Imputed Data'!L78)/'Imputed Data'!L78</f>
        <v>0.18201227648785684</v>
      </c>
      <c r="M90" s="7">
        <f>('Imputed Data'!M90-'Imputed Data'!M78)/'Imputed Data'!M78</f>
        <v>3.6093418259023367E-2</v>
      </c>
      <c r="N90" s="7">
        <f>('Imputed Data'!N90-'Imputed Data'!N78)/'Imputed Data'!N78</f>
        <v>0.12508934953538242</v>
      </c>
      <c r="O90" s="7">
        <f>('Imputed Data'!O90-'Imputed Data'!O78)/'Imputed Data'!O78</f>
        <v>3.3582089552238806E-2</v>
      </c>
      <c r="P90" s="7">
        <f>('Imputed Data'!P90-'Imputed Data'!P78)/'Imputed Data'!P78</f>
        <v>3.5798499464094295E-2</v>
      </c>
      <c r="Q90" s="7">
        <f>('Imputed Data'!Q90-'Imputed Data'!Q78)/'Imputed Data'!Q78</f>
        <v>8.0908445706174628E-2</v>
      </c>
      <c r="R90" s="7">
        <f>('Imputed Data'!R90-'Imputed Data'!R78)/'Imputed Data'!R78</f>
        <v>9.3235831809872105E-2</v>
      </c>
      <c r="S90" s="7">
        <f>('Imputed Data'!S90-'Imputed Data'!S78)/'Imputed Data'!S78</f>
        <v>2.4707996406109548E-2</v>
      </c>
      <c r="T90" s="7">
        <f>('Imputed Data'!T90-'Imputed Data'!T78)/'Imputed Data'!T78</f>
        <v>2.2554605887939151E-2</v>
      </c>
      <c r="U90" s="7">
        <f>('Imputed Data'!U90-'Imputed Data'!U78)/'Imputed Data'!U78</f>
        <v>2.4213622991627038E-2</v>
      </c>
      <c r="V90" s="7">
        <f>('Imputed Data'!V90-'Imputed Data'!V78)/'Imputed Data'!V78</f>
        <v>3.0202087497224063E-2</v>
      </c>
      <c r="W90" s="7">
        <f>('Imputed Data'!W90-'Imputed Data'!W78)/'Imputed Data'!W78</f>
        <v>2.8035162746495628E-2</v>
      </c>
      <c r="X90" s="7">
        <f>('Imputed Data'!X90-'Imputed Data'!X78)/'Imputed Data'!X78</f>
        <v>1.8789144050104505E-2</v>
      </c>
      <c r="Y90" s="7">
        <f>('Imputed Data'!Y90-'Imputed Data'!Y78)/'Imputed Data'!Y78</f>
        <v>4.6289993192648135E-2</v>
      </c>
      <c r="Z90" s="7">
        <f>('Imputed Data'!Z90-'Imputed Data'!Z78)/'Imputed Data'!Z78</f>
        <v>6.7253803042433988E-2</v>
      </c>
      <c r="AA90" s="7">
        <f>('Imputed Data'!AA90-'Imputed Data'!AA78)/'Imputed Data'!AA78</f>
        <v>5.4358237547892901E-2</v>
      </c>
      <c r="AB90" s="7">
        <f>('Imputed Data'!AB90-'Imputed Data'!AB78)/'Imputed Data'!AB78</f>
        <v>3.1002638522427555E-2</v>
      </c>
      <c r="AC90" s="7">
        <f>('Imputed Data'!AC90-'Imputed Data'!AC78)/'Imputed Data'!AC78</f>
        <v>0.12043978010994499</v>
      </c>
      <c r="AD90" s="7">
        <f>('Imputed Data'!AD90-'Imputed Data'!AD78)/'Imputed Data'!AD78</f>
        <v>5.5957549445248549E-2</v>
      </c>
      <c r="AE90" s="7">
        <f>('Imputed Data'!AE90-'Imputed Data'!AE78)/'Imputed Data'!AE78</f>
        <v>6.1502347417840483E-2</v>
      </c>
    </row>
    <row r="91" spans="1:31" x14ac:dyDescent="0.25">
      <c r="A91" s="1">
        <f>'Imputed Data'!A91</f>
        <v>43983</v>
      </c>
      <c r="B91" s="1" t="str">
        <f>'Imputed Data'!B91</f>
        <v>Rural+Urban</v>
      </c>
      <c r="C91" s="2">
        <f>'Imputed Data'!C91</f>
        <v>2020</v>
      </c>
      <c r="D91" s="1" t="str">
        <f>'Imputed Data'!D91</f>
        <v>June</v>
      </c>
      <c r="E91" s="7">
        <f>('Imputed Data'!E91-'Imputed Data'!E79)/'Imputed Data'!E79</f>
        <v>7.8586878154289885E-2</v>
      </c>
      <c r="F91" s="7">
        <f>('Imputed Data'!F91-'Imputed Data'!F79)/'Imputed Data'!F79</f>
        <v>0.18877236273904993</v>
      </c>
      <c r="G91" s="7">
        <f>('Imputed Data'!G91-'Imputed Data'!G79)/'Imputed Data'!G79</f>
        <v>9.8693759071117507E-2</v>
      </c>
      <c r="H91" s="7">
        <f>('Imputed Data'!H91-'Imputed Data'!H79)/'Imputed Data'!H79</f>
        <v>6.978367062107467E-2</v>
      </c>
      <c r="I91" s="7">
        <f>('Imputed Data'!I91-'Imputed Data'!I79)/'Imputed Data'!I79</f>
        <v>0.11538461538461545</v>
      </c>
      <c r="J91" s="7">
        <f>('Imputed Data'!J91-'Imputed Data'!J79)/'Imputed Data'!J79</f>
        <v>2.7247956403268206E-3</v>
      </c>
      <c r="K91" s="7">
        <f>('Imputed Data'!K91-'Imputed Data'!K79)/'Imputed Data'!K79</f>
        <v>3.9867109634551492E-2</v>
      </c>
      <c r="L91" s="7">
        <f>('Imputed Data'!L91-'Imputed Data'!L79)/'Imputed Data'!L79</f>
        <v>0.17614964925954787</v>
      </c>
      <c r="M91" s="7">
        <f>('Imputed Data'!M91-'Imputed Data'!M79)/'Imputed Data'!M79</f>
        <v>2.8828828828828854E-2</v>
      </c>
      <c r="N91" s="7">
        <f>('Imputed Data'!N91-'Imputed Data'!N79)/'Imputed Data'!N79</f>
        <v>0.13442389758179235</v>
      </c>
      <c r="O91" s="7">
        <f>('Imputed Data'!O91-'Imputed Data'!O79)/'Imputed Data'!O79</f>
        <v>3.8748137108792977E-2</v>
      </c>
      <c r="P91" s="7">
        <f>('Imputed Data'!P91-'Imputed Data'!P79)/'Imputed Data'!P79</f>
        <v>3.7844772289929475E-2</v>
      </c>
      <c r="Q91" s="7">
        <f>('Imputed Data'!Q91-'Imputed Data'!Q79)/'Imputed Data'!Q79</f>
        <v>7.9187105816398123E-2</v>
      </c>
      <c r="R91" s="7">
        <f>('Imputed Data'!R91-'Imputed Data'!R79)/'Imputed Data'!R79</f>
        <v>0.11279563371740445</v>
      </c>
      <c r="S91" s="7">
        <f>('Imputed Data'!S91-'Imputed Data'!S79)/'Imputed Data'!S79</f>
        <v>2.6244952893674331E-2</v>
      </c>
      <c r="T91" s="7">
        <f>('Imputed Data'!T91-'Imputed Data'!T79)/'Imputed Data'!T79</f>
        <v>2.8490028490028491E-2</v>
      </c>
      <c r="U91" s="7">
        <f>('Imputed Data'!U91-'Imputed Data'!U79)/'Imputed Data'!U79</f>
        <v>2.7137042062415195E-2</v>
      </c>
      <c r="V91" s="7">
        <f>('Imputed Data'!V91-'Imputed Data'!V79)/'Imputed Data'!V79</f>
        <v>3.5475234270414879E-2</v>
      </c>
      <c r="W91" s="7">
        <f>('Imputed Data'!W91-'Imputed Data'!W79)/'Imputed Data'!W79</f>
        <v>4.9575070821530958E-3</v>
      </c>
      <c r="X91" s="7">
        <f>('Imputed Data'!X91-'Imputed Data'!X79)/'Imputed Data'!X79</f>
        <v>1.8080667593880349E-2</v>
      </c>
      <c r="Y91" s="7">
        <f>('Imputed Data'!Y91-'Imputed Data'!Y79)/'Imputed Data'!Y79</f>
        <v>4.7489823609226593E-2</v>
      </c>
      <c r="Z91" s="7">
        <f>('Imputed Data'!Z91-'Imputed Data'!Z79)/'Imputed Data'!Z79</f>
        <v>8.3467094703049804E-2</v>
      </c>
      <c r="AA91" s="7">
        <f>('Imputed Data'!AA91-'Imputed Data'!AA79)/'Imputed Data'!AA79</f>
        <v>6.2320916905444251E-2</v>
      </c>
      <c r="AB91" s="7">
        <f>('Imputed Data'!AB91-'Imputed Data'!AB79)/'Imputed Data'!AB79</f>
        <v>2.5573770491803316E-2</v>
      </c>
      <c r="AC91" s="7">
        <f>('Imputed Data'!AC91-'Imputed Data'!AC79)/'Imputed Data'!AC79</f>
        <v>0.12881608339538334</v>
      </c>
      <c r="AD91" s="7">
        <f>('Imputed Data'!AD91-'Imputed Data'!AD79)/'Imputed Data'!AD79</f>
        <v>6.0606060606060649E-2</v>
      </c>
      <c r="AE91" s="7">
        <f>('Imputed Data'!AE91-'Imputed Data'!AE79)/'Imputed Data'!AE79</f>
        <v>6.2281315605318445E-2</v>
      </c>
    </row>
    <row r="92" spans="1:31" x14ac:dyDescent="0.25">
      <c r="A92" s="1">
        <f>'Imputed Data'!A92</f>
        <v>44013</v>
      </c>
      <c r="B92" s="1" t="str">
        <f>'Imputed Data'!B92</f>
        <v>Rural+Urban</v>
      </c>
      <c r="C92" s="2">
        <f>'Imputed Data'!C92</f>
        <v>2020</v>
      </c>
      <c r="D92" s="1" t="str">
        <f>'Imputed Data'!D92</f>
        <v>July</v>
      </c>
      <c r="E92" s="7">
        <f>('Imputed Data'!E92-'Imputed Data'!E80)/'Imputed Data'!E80</f>
        <v>7.3941134242641648E-2</v>
      </c>
      <c r="F92" s="7">
        <f>('Imputed Data'!F92-'Imputed Data'!F80)/'Imputed Data'!F80</f>
        <v>0.18438844499078058</v>
      </c>
      <c r="G92" s="7">
        <f>('Imputed Data'!G92-'Imputed Data'!G80)/'Imputed Data'!G80</f>
        <v>8.1428571428571475E-2</v>
      </c>
      <c r="H92" s="7">
        <f>('Imputed Data'!H92-'Imputed Data'!H80)/'Imputed Data'!H80</f>
        <v>6.4583333333333409E-2</v>
      </c>
      <c r="I92" s="7">
        <f>('Imputed Data'!I92-'Imputed Data'!I80)/'Imputed Data'!I80</f>
        <v>0.11265306122448988</v>
      </c>
      <c r="J92" s="7">
        <f>('Imputed Data'!J92-'Imputed Data'!J80)/'Imputed Data'!J80</f>
        <v>-2.0625415834996823E-2</v>
      </c>
      <c r="K92" s="7">
        <f>('Imputed Data'!K92-'Imputed Data'!K80)/'Imputed Data'!K80</f>
        <v>-2.3705552089831636E-2</v>
      </c>
      <c r="L92" s="7">
        <f>('Imputed Data'!L92-'Imputed Data'!L80)/'Imputed Data'!L80</f>
        <v>0.1607692307692308</v>
      </c>
      <c r="M92" s="7">
        <f>('Imputed Data'!M92-'Imputed Data'!M80)/'Imputed Data'!M80</f>
        <v>2.7902790279027982E-2</v>
      </c>
      <c r="N92" s="7">
        <f>('Imputed Data'!N92-'Imputed Data'!N80)/'Imputed Data'!N80</f>
        <v>0.12561750176429085</v>
      </c>
      <c r="O92" s="7">
        <f>('Imputed Data'!O92-'Imputed Data'!O80)/'Imputed Data'!O80</f>
        <v>3.489235337787689E-2</v>
      </c>
      <c r="P92" s="7">
        <f>('Imputed Data'!P92-'Imputed Data'!P80)/'Imputed Data'!P80</f>
        <v>3.5851472471190929E-2</v>
      </c>
      <c r="Q92" s="7">
        <f>('Imputed Data'!Q92-'Imputed Data'!Q80)/'Imputed Data'!Q80</f>
        <v>6.4270905321354613E-2</v>
      </c>
      <c r="R92" s="7">
        <f>('Imputed Data'!R92-'Imputed Data'!R80)/'Imputed Data'!R80</f>
        <v>0.11077481840193712</v>
      </c>
      <c r="S92" s="7">
        <f>('Imputed Data'!S92-'Imputed Data'!S80)/'Imputed Data'!S80</f>
        <v>2.4177300201477462E-2</v>
      </c>
      <c r="T92" s="7">
        <f>('Imputed Data'!T92-'Imputed Data'!T80)/'Imputed Data'!T80</f>
        <v>2.7758007117437762E-2</v>
      </c>
      <c r="U92" s="7">
        <f>('Imputed Data'!U92-'Imputed Data'!U80)/'Imputed Data'!U80</f>
        <v>2.5745257452574603E-2</v>
      </c>
      <c r="V92" s="7">
        <f>('Imputed Data'!V92-'Imputed Data'!V80)/'Imputed Data'!V80</f>
        <v>2.7224435590969417E-2</v>
      </c>
      <c r="W92" s="7">
        <f>('Imputed Data'!W92-'Imputed Data'!W80)/'Imputed Data'!W80</f>
        <v>1.8664752333094E-2</v>
      </c>
      <c r="X92" s="7">
        <f>('Imputed Data'!X92-'Imputed Data'!X80)/'Imputed Data'!X80</f>
        <v>1.5256588072122173E-2</v>
      </c>
      <c r="Y92" s="7">
        <f>('Imputed Data'!Y92-'Imputed Data'!Y80)/'Imputed Data'!Y80</f>
        <v>4.3948613928329952E-2</v>
      </c>
      <c r="Z92" s="7">
        <f>('Imputed Data'!Z92-'Imputed Data'!Z80)/'Imputed Data'!Z80</f>
        <v>7.4840764331210244E-2</v>
      </c>
      <c r="AA92" s="7">
        <f>('Imputed Data'!AA92-'Imputed Data'!AA80)/'Imputed Data'!AA80</f>
        <v>5.5516014234875524E-2</v>
      </c>
      <c r="AB92" s="7">
        <f>('Imputed Data'!AB92-'Imputed Data'!AB80)/'Imputed Data'!AB80</f>
        <v>1.5584415584415621E-2</v>
      </c>
      <c r="AC92" s="7">
        <f>('Imputed Data'!AC92-'Imputed Data'!AC80)/'Imputed Data'!AC80</f>
        <v>0.11717022844509954</v>
      </c>
      <c r="AD92" s="7">
        <f>('Imputed Data'!AD92-'Imputed Data'!AD80)/'Imputed Data'!AD80</f>
        <v>5.3763440860215055E-2</v>
      </c>
      <c r="AE92" s="7">
        <f>('Imputed Data'!AE92-'Imputed Data'!AE80)/'Imputed Data'!AE80</f>
        <v>5.2704576976421801E-2</v>
      </c>
    </row>
    <row r="93" spans="1:31" x14ac:dyDescent="0.25">
      <c r="A93" s="1">
        <f>'Imputed Data'!A93</f>
        <v>44044</v>
      </c>
      <c r="B93" s="1" t="str">
        <f>'Imputed Data'!B93</f>
        <v>Rural+Urban</v>
      </c>
      <c r="C93" s="2">
        <f>'Imputed Data'!C93</f>
        <v>2020</v>
      </c>
      <c r="D93" s="1" t="str">
        <f>'Imputed Data'!D93</f>
        <v>August</v>
      </c>
      <c r="E93" s="7">
        <f>('Imputed Data'!E93-'Imputed Data'!E81)/'Imputed Data'!E81</f>
        <v>6.2812276945039339E-2</v>
      </c>
      <c r="F93" s="7">
        <f>('Imputed Data'!F93-'Imputed Data'!F81)/'Imputed Data'!F81</f>
        <v>0.18866749688667506</v>
      </c>
      <c r="G93" s="7">
        <f>('Imputed Data'!G93-'Imputed Data'!G81)/'Imputed Data'!G81</f>
        <v>8.880866425992788E-2</v>
      </c>
      <c r="H93" s="7">
        <f>('Imputed Data'!H93-'Imputed Data'!H81)/'Imputed Data'!H81</f>
        <v>5.9433310297166711E-2</v>
      </c>
      <c r="I93" s="7">
        <f>('Imputed Data'!I93-'Imputed Data'!I81)/'Imputed Data'!I81</f>
        <v>0.11798209926769732</v>
      </c>
      <c r="J93" s="7">
        <f>('Imputed Data'!J93-'Imputed Data'!J81)/'Imputed Data'!J81</f>
        <v>6.6934404283801874E-3</v>
      </c>
      <c r="K93" s="7">
        <f>('Imputed Data'!K93-'Imputed Data'!K81)/'Imputed Data'!K81</f>
        <v>6.3918757467144496E-2</v>
      </c>
      <c r="L93" s="7">
        <f>('Imputed Data'!L93-'Imputed Data'!L81)/'Imputed Data'!L81</f>
        <v>0.14896867838044309</v>
      </c>
      <c r="M93" s="7">
        <f>('Imputed Data'!M93-'Imputed Data'!M81)/'Imputed Data'!M81</f>
        <v>2.7678571428571379E-2</v>
      </c>
      <c r="N93" s="7">
        <f>('Imputed Data'!N93-'Imputed Data'!N81)/'Imputed Data'!N81</f>
        <v>0.12201963534361855</v>
      </c>
      <c r="O93" s="7">
        <f>('Imputed Data'!O93-'Imputed Data'!O81)/'Imputed Data'!O81</f>
        <v>4.2253521126760479E-2</v>
      </c>
      <c r="P93" s="7">
        <f>('Imputed Data'!P93-'Imputed Data'!P81)/'Imputed Data'!P81</f>
        <v>3.6398467432950304E-2</v>
      </c>
      <c r="Q93" s="7">
        <f>('Imputed Data'!Q93-'Imputed Data'!Q81)/'Imputed Data'!Q81</f>
        <v>7.607950651130907E-2</v>
      </c>
      <c r="R93" s="7">
        <f>('Imputed Data'!R93-'Imputed Data'!R81)/'Imputed Data'!R81</f>
        <v>0.10132689987937263</v>
      </c>
      <c r="S93" s="7">
        <f>('Imputed Data'!S93-'Imputed Data'!S81)/'Imputed Data'!S81</f>
        <v>2.6827632461435279E-2</v>
      </c>
      <c r="T93" s="7">
        <f>('Imputed Data'!T93-'Imputed Data'!T81)/'Imputed Data'!T81</f>
        <v>1.9914651493598945E-2</v>
      </c>
      <c r="U93" s="7">
        <f>('Imputed Data'!U93-'Imputed Data'!U81)/'Imputed Data'!U81</f>
        <v>2.569303583502355E-2</v>
      </c>
      <c r="V93" s="7">
        <f>('Imputed Data'!V93-'Imputed Data'!V81)/'Imputed Data'!V81</f>
        <v>2.5725593667546214E-2</v>
      </c>
      <c r="W93" s="7">
        <f>('Imputed Data'!W93-'Imputed Data'!W81)/'Imputed Data'!W81</f>
        <v>3.2490974729241874E-2</v>
      </c>
      <c r="X93" s="7">
        <f>('Imputed Data'!X93-'Imputed Data'!X81)/'Imputed Data'!X81</f>
        <v>2.6989619377162669E-2</v>
      </c>
      <c r="Y93" s="7">
        <f>('Imputed Data'!Y93-'Imputed Data'!Y81)/'Imputed Data'!Y81</f>
        <v>4.3771043771043773E-2</v>
      </c>
      <c r="Z93" s="7">
        <f>('Imputed Data'!Z93-'Imputed Data'!Z81)/'Imputed Data'!Z81</f>
        <v>0.10095389507154215</v>
      </c>
      <c r="AA93" s="7">
        <f>('Imputed Data'!AA93-'Imputed Data'!AA81)/'Imputed Data'!AA81</f>
        <v>3.6195883605393851E-2</v>
      </c>
      <c r="AB93" s="7">
        <f>('Imputed Data'!AB93-'Imputed Data'!AB81)/'Imputed Data'!AB81</f>
        <v>2.3240800516462195E-2</v>
      </c>
      <c r="AC93" s="7">
        <f>('Imputed Data'!AC93-'Imputed Data'!AC81)/'Imputed Data'!AC81</f>
        <v>0.11488439306358385</v>
      </c>
      <c r="AD93" s="7">
        <f>('Imputed Data'!AD93-'Imputed Data'!AD81)/'Imputed Data'!AD81</f>
        <v>6.276747503566342E-2</v>
      </c>
      <c r="AE93" s="7">
        <f>('Imputed Data'!AE93-'Imputed Data'!AE81)/'Imputed Data'!AE81</f>
        <v>6.1379310344827624E-2</v>
      </c>
    </row>
    <row r="94" spans="1:31" x14ac:dyDescent="0.25">
      <c r="A94" s="1">
        <f>'Imputed Data'!A94</f>
        <v>44075</v>
      </c>
      <c r="B94" s="1" t="str">
        <f>'Imputed Data'!B94</f>
        <v>Rural+Urban</v>
      </c>
      <c r="C94" s="2">
        <f>'Imputed Data'!C94</f>
        <v>2020</v>
      </c>
      <c r="D94" s="1" t="str">
        <f>'Imputed Data'!D94</f>
        <v>September</v>
      </c>
      <c r="E94" s="7">
        <f>('Imputed Data'!E94-'Imputed Data'!E82)/'Imputed Data'!E82</f>
        <v>5.3229240596167494E-2</v>
      </c>
      <c r="F94" s="7">
        <f>('Imputed Data'!F94-'Imputed Data'!F82)/'Imputed Data'!F82</f>
        <v>0.16355721393034814</v>
      </c>
      <c r="G94" s="7">
        <f>('Imputed Data'!G94-'Imputed Data'!G82)/'Imputed Data'!G82</f>
        <v>9.2406876790830997E-2</v>
      </c>
      <c r="H94" s="7">
        <f>('Imputed Data'!H94-'Imputed Data'!H82)/'Imputed Data'!H82</f>
        <v>5.6396148555708313E-2</v>
      </c>
      <c r="I94" s="7">
        <f>('Imputed Data'!I94-'Imputed Data'!I82)/'Imputed Data'!I82</f>
        <v>0.11902834008097157</v>
      </c>
      <c r="J94" s="7">
        <f>('Imputed Data'!J94-'Imputed Data'!J82)/'Imputed Data'!J82</f>
        <v>2.9331514324693123E-2</v>
      </c>
      <c r="K94" s="7">
        <f>('Imputed Data'!K94-'Imputed Data'!K82)/'Imputed Data'!K82</f>
        <v>7.794457274826791E-2</v>
      </c>
      <c r="L94" s="7">
        <f>('Imputed Data'!L94-'Imputed Data'!L82)/'Imputed Data'!L82</f>
        <v>0.13829787234042568</v>
      </c>
      <c r="M94" s="7">
        <f>('Imputed Data'!M94-'Imputed Data'!M82)/'Imputed Data'!M82</f>
        <v>2.8268551236749141E-2</v>
      </c>
      <c r="N94" s="7">
        <f>('Imputed Data'!N94-'Imputed Data'!N82)/'Imputed Data'!N82</f>
        <v>0.11242192921582247</v>
      </c>
      <c r="O94" s="7">
        <f>('Imputed Data'!O94-'Imputed Data'!O82)/'Imputed Data'!O82</f>
        <v>5.3333333333333247E-2</v>
      </c>
      <c r="P94" s="7">
        <f>('Imputed Data'!P94-'Imputed Data'!P82)/'Imputed Data'!P82</f>
        <v>3.8903061224489756E-2</v>
      </c>
      <c r="Q94" s="7">
        <f>('Imputed Data'!Q94-'Imputed Data'!Q82)/'Imputed Data'!Q82</f>
        <v>7.4829931972789115E-2</v>
      </c>
      <c r="R94" s="7">
        <f>('Imputed Data'!R94-'Imputed Data'!R82)/'Imputed Data'!R82</f>
        <v>0.10750750750750754</v>
      </c>
      <c r="S94" s="7">
        <f>('Imputed Data'!S94-'Imputed Data'!S82)/'Imputed Data'!S82</f>
        <v>2.8150134048257489E-2</v>
      </c>
      <c r="T94" s="7">
        <f>('Imputed Data'!T94-'Imputed Data'!T82)/'Imputed Data'!T82</f>
        <v>2.6315789473684334E-2</v>
      </c>
      <c r="U94" s="7">
        <f>('Imputed Data'!U94-'Imputed Data'!U82)/'Imputed Data'!U82</f>
        <v>2.7721433400946547E-2</v>
      </c>
      <c r="V94" s="7">
        <f>('Imputed Data'!V94-'Imputed Data'!V82)/'Imputed Data'!V82</f>
        <v>2.6938239159001464E-2</v>
      </c>
      <c r="W94" s="7">
        <f>('Imputed Data'!W94-'Imputed Data'!W82)/'Imputed Data'!W82</f>
        <v>2.6580459770115066E-2</v>
      </c>
      <c r="X94" s="7">
        <f>('Imputed Data'!X94-'Imputed Data'!X82)/'Imputed Data'!X82</f>
        <v>2.83540802213001E-2</v>
      </c>
      <c r="Y94" s="7">
        <f>('Imputed Data'!Y94-'Imputed Data'!Y82)/'Imputed Data'!Y82</f>
        <v>4.4295302013422778E-2</v>
      </c>
      <c r="Z94" s="7">
        <f>('Imputed Data'!Z94-'Imputed Data'!Z82)/'Imputed Data'!Z82</f>
        <v>0.10705789056304521</v>
      </c>
      <c r="AA94" s="7">
        <f>('Imputed Data'!AA94-'Imputed Data'!AA82)/'Imputed Data'!AA82</f>
        <v>3.7508846426043754E-2</v>
      </c>
      <c r="AB94" s="7">
        <f>('Imputed Data'!AB94-'Imputed Data'!AB82)/'Imputed Data'!AB82</f>
        <v>1.4819587628866053E-2</v>
      </c>
      <c r="AC94" s="7">
        <f>('Imputed Data'!AC94-'Imputed Data'!AC82)/'Imputed Data'!AC82</f>
        <v>0.13385826771653556</v>
      </c>
      <c r="AD94" s="7">
        <f>('Imputed Data'!AD94-'Imputed Data'!AD82)/'Imputed Data'!AD82</f>
        <v>6.6098081023454242E-2</v>
      </c>
      <c r="AE94" s="7">
        <f>('Imputed Data'!AE94-'Imputed Data'!AE82)/'Imputed Data'!AE82</f>
        <v>6.1042524005486806E-2</v>
      </c>
    </row>
    <row r="95" spans="1:31" x14ac:dyDescent="0.25">
      <c r="A95" s="1">
        <f>'Imputed Data'!A95</f>
        <v>44105</v>
      </c>
      <c r="B95" s="1" t="str">
        <f>'Imputed Data'!B95</f>
        <v>Rural+Urban</v>
      </c>
      <c r="C95" s="2">
        <f>'Imputed Data'!C95</f>
        <v>2020</v>
      </c>
      <c r="D95" s="1" t="str">
        <f>'Imputed Data'!D95</f>
        <v>October</v>
      </c>
      <c r="E95" s="7">
        <f>('Imputed Data'!E95-'Imputed Data'!E83)/'Imputed Data'!E83</f>
        <v>4.0197461212975939E-2</v>
      </c>
      <c r="F95" s="7">
        <f>('Imputed Data'!F95-'Imputed Data'!F83)/'Imputed Data'!F83</f>
        <v>0.17329192546583855</v>
      </c>
      <c r="G95" s="7">
        <f>('Imputed Data'!G95-'Imputed Data'!G83)/'Imputed Data'!G83</f>
        <v>0.13183730715287525</v>
      </c>
      <c r="H95" s="7">
        <f>('Imputed Data'!H95-'Imputed Data'!H83)/'Imputed Data'!H83</f>
        <v>5.0615595075239439E-2</v>
      </c>
      <c r="I95" s="7">
        <f>('Imputed Data'!I95-'Imputed Data'!I83)/'Imputed Data'!I83</f>
        <v>0.13075060532687641</v>
      </c>
      <c r="J95" s="7">
        <f>('Imputed Data'!J95-'Imputed Data'!J83)/'Imputed Data'!J83</f>
        <v>2.1621621621621546E-2</v>
      </c>
      <c r="K95" s="7">
        <f>('Imputed Data'!K95-'Imputed Data'!K83)/'Imputed Data'!K83</f>
        <v>0.11040339702760076</v>
      </c>
      <c r="L95" s="7">
        <f>('Imputed Data'!L95-'Imputed Data'!L83)/'Imputed Data'!L83</f>
        <v>0.13886792452830193</v>
      </c>
      <c r="M95" s="7">
        <f>('Imputed Data'!M95-'Imputed Data'!M83)/'Imputed Data'!M83</f>
        <v>1.9298245614035113E-2</v>
      </c>
      <c r="N95" s="7">
        <f>('Imputed Data'!N95-'Imputed Data'!N83)/'Imputed Data'!N83</f>
        <v>0.10729023383768908</v>
      </c>
      <c r="O95" s="7">
        <f>('Imputed Data'!O95-'Imputed Data'!O83)/'Imputed Data'!O83</f>
        <v>6.5877128053293904E-2</v>
      </c>
      <c r="P95" s="7">
        <f>('Imputed Data'!P95-'Imputed Data'!P83)/'Imputed Data'!P83</f>
        <v>3.8828771483131727E-2</v>
      </c>
      <c r="Q95" s="7">
        <f>('Imputed Data'!Q95-'Imputed Data'!Q83)/'Imputed Data'!Q83</f>
        <v>7.8877005347593662E-2</v>
      </c>
      <c r="R95" s="7">
        <f>('Imputed Data'!R95-'Imputed Data'!R83)/'Imputed Data'!R83</f>
        <v>0.10293237582286067</v>
      </c>
      <c r="S95" s="7">
        <f>('Imputed Data'!S95-'Imputed Data'!S83)/'Imputed Data'!S83</f>
        <v>2.8781793842034692E-2</v>
      </c>
      <c r="T95" s="7">
        <f>('Imputed Data'!T95-'Imputed Data'!T83)/'Imputed Data'!T83</f>
        <v>2.6988636363636239E-2</v>
      </c>
      <c r="U95" s="7">
        <f>('Imputed Data'!U95-'Imputed Data'!U83)/'Imputed Data'!U83</f>
        <v>2.7665317139001507E-2</v>
      </c>
      <c r="V95" s="7">
        <f>('Imputed Data'!V95-'Imputed Data'!V83)/'Imputed Data'!V83</f>
        <v>2.2875816993464051E-2</v>
      </c>
      <c r="W95" s="7">
        <f>('Imputed Data'!W95-'Imputed Data'!W83)/'Imputed Data'!W83</f>
        <v>1.7780938833570414E-2</v>
      </c>
      <c r="X95" s="7">
        <f>('Imputed Data'!X95-'Imputed Data'!X83)/'Imputed Data'!X83</f>
        <v>2.5517241379310267E-2</v>
      </c>
      <c r="Y95" s="7">
        <f>('Imputed Data'!Y95-'Imputed Data'!Y83)/'Imputed Data'!Y83</f>
        <v>4.6184738955823326E-2</v>
      </c>
      <c r="Z95" s="7">
        <f>('Imputed Data'!Z95-'Imputed Data'!Z83)/'Imputed Data'!Z83</f>
        <v>0.11322248614410133</v>
      </c>
      <c r="AA95" s="7">
        <f>('Imputed Data'!AA95-'Imputed Data'!AA83)/'Imputed Data'!AA83</f>
        <v>3.3874382498235794E-2</v>
      </c>
      <c r="AB95" s="7">
        <f>('Imputed Data'!AB95-'Imputed Data'!AB83)/'Imputed Data'!AB83</f>
        <v>1.994851994851991E-2</v>
      </c>
      <c r="AC95" s="7">
        <f>('Imputed Data'!AC95-'Imputed Data'!AC83)/'Imputed Data'!AC83</f>
        <v>0.12142857142857143</v>
      </c>
      <c r="AD95" s="7">
        <f>('Imputed Data'!AD95-'Imputed Data'!AD83)/'Imputed Data'!AD83</f>
        <v>6.6666666666666707E-2</v>
      </c>
      <c r="AE95" s="7">
        <f>('Imputed Data'!AE95-'Imputed Data'!AE83)/'Imputed Data'!AE83</f>
        <v>6.2500000000000125E-2</v>
      </c>
    </row>
    <row r="96" spans="1:31" x14ac:dyDescent="0.25">
      <c r="A96" s="1">
        <f>'Imputed Data'!A96</f>
        <v>44136</v>
      </c>
      <c r="B96" s="1" t="str">
        <f>'Imputed Data'!B96</f>
        <v>Rural+Urban</v>
      </c>
      <c r="C96" s="2">
        <f>'Imputed Data'!C96</f>
        <v>2020</v>
      </c>
      <c r="D96" s="1" t="str">
        <f>'Imputed Data'!D96</f>
        <v>November</v>
      </c>
      <c r="E96" s="7">
        <f>('Imputed Data'!E96-'Imputed Data'!E84)/'Imputed Data'!E84</f>
        <v>3.0175438596491307E-2</v>
      </c>
      <c r="F96" s="7">
        <f>('Imputed Data'!F96-'Imputed Data'!F84)/'Imputed Data'!F84</f>
        <v>0.17034313725490205</v>
      </c>
      <c r="G96" s="7">
        <f>('Imputed Data'!G96-'Imputed Data'!G84)/'Imputed Data'!G84</f>
        <v>0.19230769230769232</v>
      </c>
      <c r="H96" s="7">
        <f>('Imputed Data'!H96-'Imputed Data'!H84)/'Imputed Data'!H84</f>
        <v>4.839809134287678E-2</v>
      </c>
      <c r="I96" s="7">
        <f>('Imputed Data'!I96-'Imputed Data'!I84)/'Imputed Data'!I84</f>
        <v>0.14802896218825415</v>
      </c>
      <c r="J96" s="7">
        <f>('Imputed Data'!J96-'Imputed Data'!J84)/'Imputed Data'!J84</f>
        <v>6.7842605156037987E-3</v>
      </c>
      <c r="K96" s="7">
        <f>('Imputed Data'!K96-'Imputed Data'!K84)/'Imputed Data'!K84</f>
        <v>0.15230460921843691</v>
      </c>
      <c r="L96" s="7">
        <f>('Imputed Data'!L96-'Imputed Data'!L84)/'Imputed Data'!L84</f>
        <v>0.15549005158437748</v>
      </c>
      <c r="M96" s="7">
        <f>('Imputed Data'!M96-'Imputed Data'!M84)/'Imputed Data'!M84</f>
        <v>1.3134851138353765E-2</v>
      </c>
      <c r="N96" s="7">
        <f>('Imputed Data'!N96-'Imputed Data'!N84)/'Imputed Data'!N84</f>
        <v>0.10068027210884362</v>
      </c>
      <c r="O96" s="7">
        <f>('Imputed Data'!O96-'Imputed Data'!O84)/'Imputed Data'!O84</f>
        <v>8.2779009608277804E-2</v>
      </c>
      <c r="P96" s="7">
        <f>('Imputed Data'!P96-'Imputed Data'!P84)/'Imputed Data'!P84</f>
        <v>4.000000000000007E-2</v>
      </c>
      <c r="Q96" s="7">
        <f>('Imputed Data'!Q96-'Imputed Data'!Q84)/'Imputed Data'!Q84</f>
        <v>8.4265964450296132E-2</v>
      </c>
      <c r="R96" s="7">
        <f>('Imputed Data'!R96-'Imputed Data'!R84)/'Imputed Data'!R84</f>
        <v>0.10065515187611676</v>
      </c>
      <c r="S96" s="7">
        <f>('Imputed Data'!S96-'Imputed Data'!S84)/'Imputed Data'!S84</f>
        <v>2.9352901934623119E-2</v>
      </c>
      <c r="T96" s="7">
        <f>('Imputed Data'!T96-'Imputed Data'!T84)/'Imputed Data'!T84</f>
        <v>2.7659574468085146E-2</v>
      </c>
      <c r="U96" s="7">
        <f>('Imputed Data'!U96-'Imputed Data'!U84)/'Imputed Data'!U84</f>
        <v>2.8263795423957048E-2</v>
      </c>
      <c r="V96" s="7">
        <f>('Imputed Data'!V96-'Imputed Data'!V84)/'Imputed Data'!V84</f>
        <v>2.9315960912052116E-2</v>
      </c>
      <c r="W96" s="7">
        <f>('Imputed Data'!W96-'Imputed Data'!W84)/'Imputed Data'!W84</f>
        <v>9.1356289529162527E-3</v>
      </c>
      <c r="X96" s="7">
        <f>('Imputed Data'!X96-'Imputed Data'!X84)/'Imputed Data'!X84</f>
        <v>2.6841018582243477E-2</v>
      </c>
      <c r="Y96" s="7">
        <f>('Imputed Data'!Y96-'Imputed Data'!Y84)/'Imputed Data'!Y84</f>
        <v>4.8699132755169995E-2</v>
      </c>
      <c r="Z96" s="7">
        <f>('Imputed Data'!Z96-'Imputed Data'!Z84)/'Imputed Data'!Z84</f>
        <v>0.10900473933649299</v>
      </c>
      <c r="AA96" s="7">
        <f>('Imputed Data'!AA96-'Imputed Data'!AA84)/'Imputed Data'!AA84</f>
        <v>4.4334975369458213E-2</v>
      </c>
      <c r="AB96" s="7">
        <f>('Imputed Data'!AB96-'Imputed Data'!AB84)/'Imputed Data'!AB84</f>
        <v>1.9935691318327939E-2</v>
      </c>
      <c r="AC96" s="7">
        <f>('Imputed Data'!AC96-'Imputed Data'!AC84)/'Imputed Data'!AC84</f>
        <v>0.11831789023521021</v>
      </c>
      <c r="AD96" s="7">
        <f>('Imputed Data'!AD96-'Imputed Data'!AD84)/'Imputed Data'!AD84</f>
        <v>6.6525123849964451E-2</v>
      </c>
      <c r="AE96" s="7">
        <f>('Imputed Data'!AE96-'Imputed Data'!AE84)/'Imputed Data'!AE84</f>
        <v>6.5948855989232918E-2</v>
      </c>
    </row>
    <row r="97" spans="1:31" x14ac:dyDescent="0.25">
      <c r="A97" s="1">
        <f>'Imputed Data'!A97</f>
        <v>44166</v>
      </c>
      <c r="B97" s="1" t="str">
        <f>'Imputed Data'!B97</f>
        <v>Rural+Urban</v>
      </c>
      <c r="C97" s="2">
        <f>'Imputed Data'!C97</f>
        <v>2020</v>
      </c>
      <c r="D97" s="1" t="str">
        <f>'Imputed Data'!D97</f>
        <v>December</v>
      </c>
      <c r="E97" s="7">
        <f>('Imputed Data'!E97-'Imputed Data'!E85)/'Imputed Data'!E85</f>
        <v>1.7421602787456445E-2</v>
      </c>
      <c r="F97" s="7">
        <f>('Imputed Data'!F97-'Imputed Data'!F85)/'Imputed Data'!F85</f>
        <v>0.15757575757575756</v>
      </c>
      <c r="G97" s="7">
        <f>('Imputed Data'!G97-'Imputed Data'!G85)/'Imputed Data'!G85</f>
        <v>0.16015883520847132</v>
      </c>
      <c r="H97" s="7">
        <f>('Imputed Data'!H97-'Imputed Data'!H85)/'Imputed Data'!H85</f>
        <v>3.9109912339851532E-2</v>
      </c>
      <c r="I97" s="7">
        <f>('Imputed Data'!I97-'Imputed Data'!I85)/'Imputed Data'!I85</f>
        <v>0.1662688941925218</v>
      </c>
      <c r="J97" s="7">
        <f>('Imputed Data'!J97-'Imputed Data'!J85)/'Imputed Data'!J85</f>
        <v>1.3726835964310227E-2</v>
      </c>
      <c r="K97" s="7">
        <f>('Imputed Data'!K97-'Imputed Data'!K85)/'Imputed Data'!K85</f>
        <v>6.2211981566820278E-2</v>
      </c>
      <c r="L97" s="7">
        <f>('Imputed Data'!L97-'Imputed Data'!L85)/'Imputed Data'!L85</f>
        <v>0.15835140997830785</v>
      </c>
      <c r="M97" s="7">
        <f>('Imputed Data'!M97-'Imputed Data'!M85)/'Imputed Data'!M85</f>
        <v>1.1403508771929799E-2</v>
      </c>
      <c r="N97" s="7">
        <f>('Imputed Data'!N97-'Imputed Data'!N85)/'Imputed Data'!N85</f>
        <v>9.6166778749159465E-2</v>
      </c>
      <c r="O97" s="7">
        <f>('Imputed Data'!O97-'Imputed Data'!O85)/'Imputed Data'!O85</f>
        <v>9.8674521354933556E-2</v>
      </c>
      <c r="P97" s="7">
        <f>('Imputed Data'!P97-'Imputed Data'!P85)/'Imputed Data'!P85</f>
        <v>4.3037974683544374E-2</v>
      </c>
      <c r="Q97" s="7">
        <f>('Imputed Data'!Q97-'Imputed Data'!Q85)/'Imputed Data'!Q85</f>
        <v>6.7096774193548425E-2</v>
      </c>
      <c r="R97" s="7">
        <f>('Imputed Data'!R97-'Imputed Data'!R85)/'Imputed Data'!R85</f>
        <v>0.10029673590504454</v>
      </c>
      <c r="S97" s="7">
        <f>('Imputed Data'!S97-'Imputed Data'!S85)/'Imputed Data'!S85</f>
        <v>3.127079174983359E-2</v>
      </c>
      <c r="T97" s="7">
        <f>('Imputed Data'!T97-'Imputed Data'!T85)/'Imputed Data'!T85</f>
        <v>2.9016277423920694E-2</v>
      </c>
      <c r="U97" s="7">
        <f>('Imputed Data'!U97-'Imputed Data'!U85)/'Imputed Data'!U85</f>
        <v>3.0872483221476472E-2</v>
      </c>
      <c r="V97" s="7">
        <f>('Imputed Data'!V97-'Imputed Data'!V85)/'Imputed Data'!V85</f>
        <v>3.6649214659685826E-2</v>
      </c>
      <c r="W97" s="7">
        <f>('Imputed Data'!W97-'Imputed Data'!W85)/'Imputed Data'!W85</f>
        <v>6.2630480167015015E-3</v>
      </c>
      <c r="X97" s="7">
        <f>('Imputed Data'!X97-'Imputed Data'!X85)/'Imputed Data'!X85</f>
        <v>2.6748971193415481E-2</v>
      </c>
      <c r="Y97" s="7">
        <f>('Imputed Data'!Y97-'Imputed Data'!Y85)/'Imputed Data'!Y85</f>
        <v>5.2526595744680889E-2</v>
      </c>
      <c r="Z97" s="7">
        <f>('Imputed Data'!Z97-'Imputed Data'!Z85)/'Imputed Data'!Z85</f>
        <v>8.3975346687210906E-2</v>
      </c>
      <c r="AA97" s="7">
        <f>('Imputed Data'!AA97-'Imputed Data'!AA85)/'Imputed Data'!AA85</f>
        <v>4.3569922698524159E-2</v>
      </c>
      <c r="AB97" s="7">
        <f>('Imputed Data'!AB97-'Imputed Data'!AB85)/'Imputed Data'!AB85</f>
        <v>2.3763648041104798E-2</v>
      </c>
      <c r="AC97" s="7">
        <f>('Imputed Data'!AC97-'Imputed Data'!AC85)/'Imputed Data'!AC85</f>
        <v>0.11894586894586887</v>
      </c>
      <c r="AD97" s="7">
        <f>('Imputed Data'!AD97-'Imputed Data'!AD85)/'Imputed Data'!AD85</f>
        <v>6.1052631578947289E-2</v>
      </c>
      <c r="AE97" s="7">
        <f>('Imputed Data'!AE97-'Imputed Data'!AE85)/'Imputed Data'!AE85</f>
        <v>5.6515957446808505E-2</v>
      </c>
    </row>
    <row r="98" spans="1:31" x14ac:dyDescent="0.25">
      <c r="A98" s="1">
        <f>'Imputed Data'!A98</f>
        <v>44197</v>
      </c>
      <c r="B98" s="1" t="str">
        <f>'Imputed Data'!B98</f>
        <v>Rural+Urban</v>
      </c>
      <c r="C98" s="2">
        <f>'Imputed Data'!C98</f>
        <v>2021</v>
      </c>
      <c r="D98" s="1" t="str">
        <f>'Imputed Data'!D98</f>
        <v>January</v>
      </c>
      <c r="E98" s="7">
        <f>('Imputed Data'!E98-'Imputed Data'!E86)/'Imputed Data'!E86</f>
        <v>4.1580041580041183E-3</v>
      </c>
      <c r="F98" s="7">
        <f>('Imputed Data'!F98-'Imputed Data'!F86)/'Imputed Data'!F86</f>
        <v>0.13560334528076456</v>
      </c>
      <c r="G98" s="7">
        <f>('Imputed Data'!G98-'Imputed Data'!G86)/'Imputed Data'!G86</f>
        <v>0.13169786959328603</v>
      </c>
      <c r="H98" s="7">
        <f>('Imputed Data'!H98-'Imputed Data'!H86)/'Imputed Data'!H86</f>
        <v>2.6648900732844771E-2</v>
      </c>
      <c r="I98" s="7">
        <f>('Imputed Data'!I98-'Imputed Data'!I86)/'Imputed Data'!I86</f>
        <v>0.16166281755196305</v>
      </c>
      <c r="J98" s="7">
        <f>('Imputed Data'!J98-'Imputed Data'!J86)/'Imputed Data'!J86</f>
        <v>4.4692737430167641E-2</v>
      </c>
      <c r="K98" s="7">
        <f>('Imputed Data'!K98-'Imputed Data'!K86)/'Imputed Data'!K86</f>
        <v>-1.4213197969543205E-2</v>
      </c>
      <c r="L98" s="7">
        <f>('Imputed Data'!L98-'Imputed Data'!L86)/'Imputed Data'!L86</f>
        <v>0.14245014245014245</v>
      </c>
      <c r="M98" s="7">
        <f>('Imputed Data'!M98-'Imputed Data'!M86)/'Imputed Data'!M86</f>
        <v>4.3821209465381246E-3</v>
      </c>
      <c r="N98" s="7">
        <f>('Imputed Data'!N98-'Imputed Data'!N86)/'Imputed Data'!N86</f>
        <v>8.6812458581842236E-2</v>
      </c>
      <c r="O98" s="7">
        <f>('Imputed Data'!O98-'Imputed Data'!O86)/'Imputed Data'!O86</f>
        <v>0.11535635562086714</v>
      </c>
      <c r="P98" s="7">
        <f>('Imputed Data'!P98-'Imputed Data'!P86)/'Imputed Data'!P86</f>
        <v>4.4136191677175286E-2</v>
      </c>
      <c r="Q98" s="7">
        <f>('Imputed Data'!Q98-'Imputed Data'!Q86)/'Imputed Data'!Q86</f>
        <v>4.8859934853420196E-2</v>
      </c>
      <c r="R98" s="7">
        <f>('Imputed Data'!R98-'Imputed Data'!R86)/'Imputed Data'!R86</f>
        <v>0.10224586288416083</v>
      </c>
      <c r="S98" s="7">
        <f>('Imputed Data'!S98-'Imputed Data'!S86)/'Imputed Data'!S86</f>
        <v>3.3222591362126248E-2</v>
      </c>
      <c r="T98" s="7">
        <f>('Imputed Data'!T98-'Imputed Data'!T86)/'Imputed Data'!T86</f>
        <v>3.2508833922261442E-2</v>
      </c>
      <c r="U98" s="7">
        <f>('Imputed Data'!U98-'Imputed Data'!U86)/'Imputed Data'!U86</f>
        <v>3.351206434316354E-2</v>
      </c>
      <c r="V98" s="7">
        <f>('Imputed Data'!V98-'Imputed Data'!V86)/'Imputed Data'!V86</f>
        <v>2.4691358024691246E-2</v>
      </c>
      <c r="W98" s="7">
        <f>('Imputed Data'!W98-'Imputed Data'!W86)/'Imputed Data'!W86</f>
        <v>2.2821576763485556E-2</v>
      </c>
      <c r="X98" s="7">
        <f>('Imputed Data'!X98-'Imputed Data'!X86)/'Imputed Data'!X86</f>
        <v>2.5991792065663554E-2</v>
      </c>
      <c r="Y98" s="7">
        <f>('Imputed Data'!Y98-'Imputed Data'!Y86)/'Imputed Data'!Y86</f>
        <v>5.3571428571428728E-2</v>
      </c>
      <c r="Z98" s="7">
        <f>('Imputed Data'!Z98-'Imputed Data'!Z86)/'Imputed Data'!Z86</f>
        <v>8.4033613445378144E-2</v>
      </c>
      <c r="AA98" s="7">
        <f>('Imputed Data'!AA98-'Imputed Data'!AA86)/'Imputed Data'!AA86</f>
        <v>4.7619047619047498E-2</v>
      </c>
      <c r="AB98" s="7">
        <f>('Imputed Data'!AB98-'Imputed Data'!AB86)/'Imputed Data'!AB86</f>
        <v>1.9859064702113995E-2</v>
      </c>
      <c r="AC98" s="7">
        <f>('Imputed Data'!AC98-'Imputed Data'!AC86)/'Imputed Data'!AC86</f>
        <v>0.10189739985945186</v>
      </c>
      <c r="AD98" s="7">
        <f>('Imputed Data'!AD98-'Imputed Data'!AD86)/'Imputed Data'!AD86</f>
        <v>5.9274755927475588E-2</v>
      </c>
      <c r="AE98" s="7">
        <f>('Imputed Data'!AE98-'Imputed Data'!AE86)/'Imputed Data'!AE86</f>
        <v>4.7270306258322389E-2</v>
      </c>
    </row>
    <row r="99" spans="1:31" x14ac:dyDescent="0.25">
      <c r="A99" s="1">
        <f>'Imputed Data'!A99</f>
        <v>44228</v>
      </c>
      <c r="B99" s="1" t="str">
        <f>'Imputed Data'!B99</f>
        <v>Rural+Urban</v>
      </c>
      <c r="C99" s="2">
        <f>'Imputed Data'!C99</f>
        <v>2021</v>
      </c>
      <c r="D99" s="1" t="str">
        <f>'Imputed Data'!D99</f>
        <v>February</v>
      </c>
      <c r="E99" s="7">
        <f>('Imputed Data'!E99-'Imputed Data'!E87)/'Imputed Data'!E87</f>
        <v>-3.453038674033149E-3</v>
      </c>
      <c r="F99" s="7">
        <f>('Imputed Data'!F99-'Imputed Data'!F87)/'Imputed Data'!F87</f>
        <v>0.11343283582089553</v>
      </c>
      <c r="G99" s="7">
        <f>('Imputed Data'!G99-'Imputed Data'!G87)/'Imputed Data'!G87</f>
        <v>0.11133069828721986</v>
      </c>
      <c r="H99" s="7">
        <f>('Imputed Data'!H99-'Imputed Data'!H87)/'Imputed Data'!H87</f>
        <v>2.5862068965517088E-2</v>
      </c>
      <c r="I99" s="7">
        <f>('Imputed Data'!I99-'Imputed Data'!I87)/'Imputed Data'!I87</f>
        <v>0.20776255707762542</v>
      </c>
      <c r="J99" s="7">
        <f>('Imputed Data'!J99-'Imputed Data'!J87)/'Imputed Data'!J87</f>
        <v>6.2764456981664149E-2</v>
      </c>
      <c r="K99" s="7">
        <f>('Imputed Data'!K99-'Imputed Data'!K87)/'Imputed Data'!K87</f>
        <v>-6.2683069712946626E-2</v>
      </c>
      <c r="L99" s="7">
        <f>('Imputed Data'!L99-'Imputed Data'!L87)/'Imputed Data'!L87</f>
        <v>0.12544294826364294</v>
      </c>
      <c r="M99" s="7">
        <f>('Imputed Data'!M99-'Imputed Data'!M87)/'Imputed Data'!M87</f>
        <v>-7.0422535211267356E-3</v>
      </c>
      <c r="N99" s="7">
        <f>('Imputed Data'!N99-'Imputed Data'!N87)/'Imputed Data'!N87</f>
        <v>8.0263157894736772E-2</v>
      </c>
      <c r="O99" s="7">
        <f>('Imputed Data'!O99-'Imputed Data'!O87)/'Imputed Data'!O87</f>
        <v>0.1391941391941392</v>
      </c>
      <c r="P99" s="7">
        <f>('Imputed Data'!P99-'Imputed Data'!P87)/'Imputed Data'!P87</f>
        <v>5.2796983029541208E-2</v>
      </c>
      <c r="Q99" s="7">
        <f>('Imputed Data'!Q99-'Imputed Data'!Q87)/'Imputed Data'!Q87</f>
        <v>4.2524916943521632E-2</v>
      </c>
      <c r="R99" s="7">
        <f>('Imputed Data'!R99-'Imputed Data'!R87)/'Imputed Data'!R87</f>
        <v>0.10699588477366266</v>
      </c>
      <c r="S99" s="7">
        <f>('Imputed Data'!S99-'Imputed Data'!S87)/'Imputed Data'!S87</f>
        <v>4.2440318302387113E-2</v>
      </c>
      <c r="T99" s="7">
        <f>('Imputed Data'!T99-'Imputed Data'!T87)/'Imputed Data'!T87</f>
        <v>4.0225829216655025E-2</v>
      </c>
      <c r="U99" s="7">
        <f>('Imputed Data'!U99-'Imputed Data'!U87)/'Imputed Data'!U87</f>
        <v>4.2140468227424822E-2</v>
      </c>
      <c r="V99" s="7">
        <f>('Imputed Data'!V99-'Imputed Data'!V87)/'Imputed Data'!V87</f>
        <v>3.2299741602067181E-2</v>
      </c>
      <c r="W99" s="7">
        <f>('Imputed Data'!W99-'Imputed Data'!W87)/'Imputed Data'!W87</f>
        <v>3.5326086956521854E-2</v>
      </c>
      <c r="X99" s="7">
        <f>('Imputed Data'!X99-'Imputed Data'!X87)/'Imputed Data'!X87</f>
        <v>3.0737704918032786E-2</v>
      </c>
      <c r="Y99" s="7">
        <f>('Imputed Data'!Y99-'Imputed Data'!Y87)/'Imputed Data'!Y87</f>
        <v>6.3282794990112218E-2</v>
      </c>
      <c r="Z99" s="7">
        <f>('Imputed Data'!Z99-'Imputed Data'!Z87)/'Imputed Data'!Z87</f>
        <v>0.11358403683806587</v>
      </c>
      <c r="AA99" s="7">
        <f>('Imputed Data'!AA99-'Imputed Data'!AA87)/'Imputed Data'!AA87</f>
        <v>5.7960893854748688E-2</v>
      </c>
      <c r="AB99" s="7">
        <f>('Imputed Data'!AB99-'Imputed Data'!AB87)/'Imputed Data'!AB87</f>
        <v>2.1126760563380358E-2</v>
      </c>
      <c r="AC99" s="7">
        <f>('Imputed Data'!AC99-'Imputed Data'!AC87)/'Imputed Data'!AC87</f>
        <v>8.6471408647140896E-2</v>
      </c>
      <c r="AD99" s="7">
        <f>('Imputed Data'!AD99-'Imputed Data'!AD87)/'Imputed Data'!AD87</f>
        <v>6.8245125348189495E-2</v>
      </c>
      <c r="AE99" s="7">
        <f>('Imputed Data'!AE99-'Imputed Data'!AE87)/'Imputed Data'!AE87</f>
        <v>5.030181086519115E-2</v>
      </c>
    </row>
    <row r="100" spans="1:31" x14ac:dyDescent="0.25">
      <c r="A100" s="1">
        <f>'Imputed Data'!A100</f>
        <v>44256</v>
      </c>
      <c r="B100" s="1" t="str">
        <f>'Imputed Data'!B100</f>
        <v>Rural+Urban</v>
      </c>
      <c r="C100" s="2">
        <f>'Imputed Data'!C100</f>
        <v>2021</v>
      </c>
      <c r="D100" s="1" t="str">
        <f>'Imputed Data'!D100</f>
        <v>March</v>
      </c>
      <c r="E100" s="7">
        <f>('Imputed Data'!E100-'Imputed Data'!E88)/'Imputed Data'!E88</f>
        <v>-6.8917987594762234E-3</v>
      </c>
      <c r="F100" s="7">
        <f>('Imputed Data'!F100-'Imputed Data'!F88)/'Imputed Data'!F88</f>
        <v>0.15089820359281431</v>
      </c>
      <c r="G100" s="7">
        <f>('Imputed Data'!G100-'Imputed Data'!G88)/'Imputed Data'!G88</f>
        <v>0.1060094530722486</v>
      </c>
      <c r="H100" s="7">
        <f>('Imputed Data'!H100-'Imputed Data'!H88)/'Imputed Data'!H88</f>
        <v>2.2442244224422481E-2</v>
      </c>
      <c r="I100" s="7">
        <f>('Imputed Data'!I100-'Imputed Data'!I88)/'Imputed Data'!I88</f>
        <v>0.24923780487804892</v>
      </c>
      <c r="J100" s="7">
        <f>('Imputed Data'!J100-'Imputed Data'!J88)/'Imputed Data'!J88</f>
        <v>7.8596491228070095E-2</v>
      </c>
      <c r="K100" s="7">
        <f>('Imputed Data'!K100-'Imputed Data'!K88)/'Imputed Data'!K88</f>
        <v>-4.9586776859504203E-2</v>
      </c>
      <c r="L100" s="7">
        <f>('Imputed Data'!L100-'Imputed Data'!L88)/'Imputed Data'!L88</f>
        <v>0.13253012048192783</v>
      </c>
      <c r="M100" s="7">
        <f>('Imputed Data'!M100-'Imputed Data'!M88)/'Imputed Data'!M88</f>
        <v>-5.3003533568905343E-3</v>
      </c>
      <c r="N100" s="7">
        <f>('Imputed Data'!N100-'Imputed Data'!N88)/'Imputed Data'!N88</f>
        <v>6.7232375979112358E-2</v>
      </c>
      <c r="O100" s="7">
        <f>('Imputed Data'!O100-'Imputed Data'!O88)/'Imputed Data'!O88</f>
        <v>0.14484272128749096</v>
      </c>
      <c r="P100" s="7">
        <f>('Imputed Data'!P100-'Imputed Data'!P88)/'Imputed Data'!P88</f>
        <v>5.3884711779448591E-2</v>
      </c>
      <c r="Q100" s="7">
        <f>('Imputed Data'!Q100-'Imputed Data'!Q88)/'Imputed Data'!Q88</f>
        <v>5.2384150436534473E-2</v>
      </c>
      <c r="R100" s="7">
        <f>('Imputed Data'!R100-'Imputed Data'!R88)/'Imputed Data'!R88</f>
        <v>9.8714953271028083E-2</v>
      </c>
      <c r="S100" s="7">
        <f>('Imputed Data'!S100-'Imputed Data'!S88)/'Imputed Data'!S88</f>
        <v>4.3650793650793801E-2</v>
      </c>
      <c r="T100" s="7">
        <f>('Imputed Data'!T100-'Imputed Data'!T88)/'Imputed Data'!T88</f>
        <v>4.2283298097251586E-2</v>
      </c>
      <c r="U100" s="7">
        <f>('Imputed Data'!U100-'Imputed Data'!U88)/'Imputed Data'!U88</f>
        <v>4.4058744993324392E-2</v>
      </c>
      <c r="V100" s="7">
        <f>('Imputed Data'!V100-'Imputed Data'!V88)/'Imputed Data'!V88</f>
        <v>3.4951456310679647E-2</v>
      </c>
      <c r="W100" s="7">
        <f>('Imputed Data'!W100-'Imputed Data'!W88)/'Imputed Data'!W88</f>
        <v>4.4325050369375382E-2</v>
      </c>
      <c r="X100" s="7">
        <f>('Imputed Data'!X100-'Imputed Data'!X88)/'Imputed Data'!X88</f>
        <v>3.2786885245901523E-2</v>
      </c>
      <c r="Y100" s="7">
        <f>('Imputed Data'!Y100-'Imputed Data'!Y88)/'Imputed Data'!Y88</f>
        <v>6.1720288903479817E-2</v>
      </c>
      <c r="Z100" s="7">
        <f>('Imputed Data'!Z100-'Imputed Data'!Z88)/'Imputed Data'!Z88</f>
        <v>0.12548113933795213</v>
      </c>
      <c r="AA100" s="7">
        <f>('Imputed Data'!AA100-'Imputed Data'!AA88)/'Imputed Data'!AA88</f>
        <v>6.1934585942936715E-2</v>
      </c>
      <c r="AB100" s="7">
        <f>('Imputed Data'!AB100-'Imputed Data'!AB88)/'Imputed Data'!AB88</f>
        <v>2.6265214606021745E-2</v>
      </c>
      <c r="AC100" s="7">
        <f>('Imputed Data'!AC100-'Imputed Data'!AC88)/'Imputed Data'!AC88</f>
        <v>5.9228650137741208E-2</v>
      </c>
      <c r="AD100" s="7">
        <f>('Imputed Data'!AD100-'Imputed Data'!AD88)/'Imputed Data'!AD88</f>
        <v>6.9541029207232263E-2</v>
      </c>
      <c r="AE100" s="7">
        <f>('Imputed Data'!AE100-'Imputed Data'!AE88)/'Imputed Data'!AE88</f>
        <v>5.5181695827725558E-2</v>
      </c>
    </row>
    <row r="101" spans="1:31" x14ac:dyDescent="0.25">
      <c r="A101" s="1">
        <f>'Imputed Data'!A101</f>
        <v>44287</v>
      </c>
      <c r="B101" s="1" t="str">
        <f>'Imputed Data'!B101</f>
        <v>Rural+Urban</v>
      </c>
      <c r="C101" s="2">
        <f>'Imputed Data'!C101</f>
        <v>2021</v>
      </c>
      <c r="D101" s="1" t="str">
        <f>'Imputed Data'!D101</f>
        <v>April</v>
      </c>
      <c r="E101" s="7">
        <f>('Imputed Data'!E101-'Imputed Data'!E89)/'Imputed Data'!E89</f>
        <v>-2.9589778076664273E-2</v>
      </c>
      <c r="F101" s="7">
        <f>('Imputed Data'!F101-'Imputed Data'!F89)/'Imputed Data'!F89</f>
        <v>0.12777672299221571</v>
      </c>
      <c r="G101" s="7">
        <f>('Imputed Data'!G101-'Imputed Data'!G89)/'Imputed Data'!G89</f>
        <v>0.10618279569892461</v>
      </c>
      <c r="H101" s="7">
        <f>('Imputed Data'!H101-'Imputed Data'!H89)/'Imputed Data'!H89</f>
        <v>-1.2853470437017265E-3</v>
      </c>
      <c r="I101" s="7">
        <f>('Imputed Data'!I101-'Imputed Data'!I89)/'Imputed Data'!I89</f>
        <v>0.2590673575129534</v>
      </c>
      <c r="J101" s="7">
        <f>('Imputed Data'!J101-'Imputed Data'!J89)/'Imputed Data'!J89</f>
        <v>9.6731154102735153E-2</v>
      </c>
      <c r="K101" s="7">
        <f>('Imputed Data'!K101-'Imputed Data'!K89)/'Imputed Data'!K89</f>
        <v>-0.14531435349940688</v>
      </c>
      <c r="L101" s="7">
        <f>('Imputed Data'!L101-'Imputed Data'!L89)/'Imputed Data'!L89</f>
        <v>7.5132978723404145E-2</v>
      </c>
      <c r="M101" s="7">
        <f>('Imputed Data'!M101-'Imputed Data'!M89)/'Imputed Data'!M89</f>
        <v>-5.9850374064837931E-2</v>
      </c>
      <c r="N101" s="7">
        <f>('Imputed Data'!N101-'Imputed Data'!N89)/'Imputed Data'!N89</f>
        <v>4.3284532145130561E-2</v>
      </c>
      <c r="O101" s="7">
        <f>('Imputed Data'!O101-'Imputed Data'!O89)/'Imputed Data'!O89</f>
        <v>0.15204678362573085</v>
      </c>
      <c r="P101" s="7">
        <f>('Imputed Data'!P101-'Imputed Data'!P89)/'Imputed Data'!P89</f>
        <v>5.3430353430353406E-2</v>
      </c>
      <c r="Q101" s="7">
        <f>('Imputed Data'!Q101-'Imputed Data'!Q89)/'Imputed Data'!Q89</f>
        <v>4.3593130779392301E-2</v>
      </c>
      <c r="R101" s="7">
        <f>('Imputed Data'!R101-'Imputed Data'!R89)/'Imputed Data'!R89</f>
        <v>7.7010838562464518E-2</v>
      </c>
      <c r="S101" s="7">
        <f>('Imputed Data'!S101-'Imputed Data'!S89)/'Imputed Data'!S89</f>
        <v>4.7263134754891314E-2</v>
      </c>
      <c r="T101" s="7">
        <f>('Imputed Data'!T101-'Imputed Data'!T89)/'Imputed Data'!T89</f>
        <v>4.0401681457262847E-2</v>
      </c>
      <c r="U101" s="7">
        <f>('Imputed Data'!U101-'Imputed Data'!U89)/'Imputed Data'!U89</f>
        <v>4.6341463414634153E-2</v>
      </c>
      <c r="V101" s="7">
        <f>('Imputed Data'!V101-'Imputed Data'!V89)/'Imputed Data'!V89</f>
        <v>3.7275064267352262E-2</v>
      </c>
      <c r="W101" s="7">
        <f>('Imputed Data'!W101-'Imputed Data'!W89)/'Imputed Data'!W89</f>
        <v>7.9805690492713396E-2</v>
      </c>
      <c r="X101" s="7">
        <f>('Imputed Data'!X101-'Imputed Data'!X89)/'Imputed Data'!X89</f>
        <v>3.6885245901639378E-2</v>
      </c>
      <c r="Y101" s="7">
        <f>('Imputed Data'!Y101-'Imputed Data'!Y89)/'Imputed Data'!Y89</f>
        <v>7.6974120769741361E-2</v>
      </c>
      <c r="Z101" s="7">
        <f>('Imputed Data'!Z101-'Imputed Data'!Z89)/'Imputed Data'!Z89</f>
        <v>0.11398176291793313</v>
      </c>
      <c r="AA101" s="7">
        <f>('Imputed Data'!AA101-'Imputed Data'!AA89)/'Imputed Data'!AA89</f>
        <v>5.4854257516639908E-2</v>
      </c>
      <c r="AB101" s="7">
        <f>('Imputed Data'!AB101-'Imputed Data'!AB89)/'Imputed Data'!AB89</f>
        <v>2.6248399487836256E-2</v>
      </c>
      <c r="AC101" s="7">
        <f>('Imputed Data'!AC101-'Imputed Data'!AC89)/'Imputed Data'!AC89</f>
        <v>5.475113122171963E-2</v>
      </c>
      <c r="AD101" s="7">
        <f>('Imputed Data'!AD101-'Imputed Data'!AD89)/'Imputed Data'!AD89</f>
        <v>6.5807639208467536E-2</v>
      </c>
      <c r="AE101" s="7">
        <f>('Imputed Data'!AE101-'Imputed Data'!AE89)/'Imputed Data'!AE89</f>
        <v>5.4342984409799698E-2</v>
      </c>
    </row>
    <row r="102" spans="1:31" x14ac:dyDescent="0.25">
      <c r="A102" s="1">
        <f>'Imputed Data'!A102</f>
        <v>44317</v>
      </c>
      <c r="B102" s="1" t="str">
        <f>'Imputed Data'!B102</f>
        <v>Rural+Urban</v>
      </c>
      <c r="C102" s="2">
        <f>'Imputed Data'!C102</f>
        <v>2021</v>
      </c>
      <c r="D102" s="1" t="str">
        <f>'Imputed Data'!D102</f>
        <v>May</v>
      </c>
      <c r="E102" s="7">
        <f>('Imputed Data'!E102-'Imputed Data'!E90)/'Imputed Data'!E90</f>
        <v>-1.2153950033760857E-2</v>
      </c>
      <c r="F102" s="7">
        <f>('Imputed Data'!F102-'Imputed Data'!F90)/'Imputed Data'!F90</f>
        <v>8.8884866039102145E-2</v>
      </c>
      <c r="G102" s="7">
        <f>('Imputed Data'!G102-'Imputed Data'!G90)/'Imputed Data'!G90</f>
        <v>0.1330671989354624</v>
      </c>
      <c r="H102" s="7">
        <f>('Imputed Data'!H102-'Imputed Data'!H90)/'Imputed Data'!H90</f>
        <v>2.226588081204962E-2</v>
      </c>
      <c r="I102" s="7">
        <f>('Imputed Data'!I102-'Imputed Data'!I90)/'Imputed Data'!I90</f>
        <v>0.32763744427934616</v>
      </c>
      <c r="J102" s="7">
        <f>('Imputed Data'!J102-'Imputed Data'!J90)/'Imputed Data'!J90</f>
        <v>0.14740215152208747</v>
      </c>
      <c r="K102" s="7">
        <f>('Imputed Data'!K102-'Imputed Data'!K90)/'Imputed Data'!K90</f>
        <v>-5.6559642781203533E-2</v>
      </c>
      <c r="L102" s="7">
        <f>('Imputed Data'!L102-'Imputed Data'!L90)/'Imputed Data'!L90</f>
        <v>0.12034319259426517</v>
      </c>
      <c r="M102" s="7">
        <f>('Imputed Data'!M102-'Imputed Data'!M90)/'Imputed Data'!M90</f>
        <v>8.1967213114753183E-3</v>
      </c>
      <c r="N102" s="7">
        <f>('Imputed Data'!N102-'Imputed Data'!N90)/'Imputed Data'!N90</f>
        <v>6.8614993646759742E-2</v>
      </c>
      <c r="O102" s="7">
        <f>('Imputed Data'!O102-'Imputed Data'!O90)/'Imputed Data'!O90</f>
        <v>0.15018050541516254</v>
      </c>
      <c r="P102" s="7">
        <f>('Imputed Data'!P102-'Imputed Data'!P90)/'Imputed Data'!P90</f>
        <v>5.7947019867549729E-2</v>
      </c>
      <c r="Q102" s="7">
        <f>('Imputed Data'!Q102-'Imputed Data'!Q90)/'Imputed Data'!Q90</f>
        <v>5.5154300722258548E-2</v>
      </c>
      <c r="R102" s="7">
        <f>('Imputed Data'!R102-'Imputed Data'!R90)/'Imputed Data'!R90</f>
        <v>6.967670011148272E-2</v>
      </c>
      <c r="S102" s="7">
        <f>('Imputed Data'!S102-'Imputed Data'!S90)/'Imputed Data'!S90</f>
        <v>6.4007014467338988E-2</v>
      </c>
      <c r="T102" s="7">
        <f>('Imputed Data'!T102-'Imputed Data'!T90)/'Imputed Data'!T90</f>
        <v>5.9438123984211735E-2</v>
      </c>
      <c r="U102" s="7">
        <f>('Imputed Data'!U102-'Imputed Data'!U90)/'Imputed Data'!U90</f>
        <v>6.3190455148033564E-2</v>
      </c>
      <c r="V102" s="7">
        <f>('Imputed Data'!V102-'Imputed Data'!V90)/'Imputed Data'!V90</f>
        <v>4.5052813106272918E-2</v>
      </c>
      <c r="W102" s="7">
        <f>('Imputed Data'!W102-'Imputed Data'!W90)/'Imputed Data'!W90</f>
        <v>0.10515368615669048</v>
      </c>
      <c r="X102" s="7">
        <f>('Imputed Data'!X102-'Imputed Data'!X90)/'Imputed Data'!X90</f>
        <v>5.6693989071038134E-2</v>
      </c>
      <c r="Y102" s="7">
        <f>('Imputed Data'!Y102-'Imputed Data'!Y90)/'Imputed Data'!Y90</f>
        <v>7.8724788549121613E-2</v>
      </c>
      <c r="Z102" s="7">
        <f>('Imputed Data'!Z102-'Imputed Data'!Z90)/'Imputed Data'!Z90</f>
        <v>0.11702925731432853</v>
      </c>
      <c r="AA102" s="7">
        <f>('Imputed Data'!AA102-'Imputed Data'!AA90)/'Imputed Data'!AA90</f>
        <v>6.1548943901885061E-2</v>
      </c>
      <c r="AB102" s="7">
        <f>('Imputed Data'!AB102-'Imputed Data'!AB90)/'Imputed Data'!AB90</f>
        <v>3.1349968010236574E-2</v>
      </c>
      <c r="AC102" s="7">
        <f>('Imputed Data'!AC102-'Imputed Data'!AC90)/'Imputed Data'!AC90</f>
        <v>6.1106155218554808E-2</v>
      </c>
      <c r="AD102" s="7">
        <f>('Imputed Data'!AD102-'Imputed Data'!AD90)/'Imputed Data'!AD90</f>
        <v>7.4463225216994111E-2</v>
      </c>
      <c r="AE102" s="7">
        <f>('Imputed Data'!AE102-'Imputed Data'!AE90)/'Imputed Data'!AE90</f>
        <v>6.4130915524104312E-2</v>
      </c>
    </row>
    <row r="103" spans="1:31" x14ac:dyDescent="0.25">
      <c r="A103" s="1">
        <f>'Imputed Data'!A103</f>
        <v>44348</v>
      </c>
      <c r="B103" s="1" t="str">
        <f>'Imputed Data'!B103</f>
        <v>Rural+Urban</v>
      </c>
      <c r="C103" s="2">
        <f>'Imputed Data'!C103</f>
        <v>2021</v>
      </c>
      <c r="D103" s="1" t="str">
        <f>'Imputed Data'!D103</f>
        <v>June</v>
      </c>
      <c r="E103" s="7">
        <f>('Imputed Data'!E103-'Imputed Data'!E91)/'Imputed Data'!E91</f>
        <v>-1.9385026737967954E-2</v>
      </c>
      <c r="F103" s="7">
        <f>('Imputed Data'!F103-'Imputed Data'!F91)/'Imputed Data'!F91</f>
        <v>4.8261546445251748E-2</v>
      </c>
      <c r="G103" s="7">
        <f>('Imputed Data'!G103-'Imputed Data'!G91)/'Imputed Data'!G91</f>
        <v>0.19352708058124163</v>
      </c>
      <c r="H103" s="7">
        <f>('Imputed Data'!H103-'Imputed Data'!H91)/'Imputed Data'!H91</f>
        <v>1.8917155903457123E-2</v>
      </c>
      <c r="I103" s="7">
        <f>('Imputed Data'!I103-'Imputed Data'!I91)/'Imputed Data'!I91</f>
        <v>0.34776228906823164</v>
      </c>
      <c r="J103" s="7">
        <f>('Imputed Data'!J103-'Imputed Data'!J91)/'Imputed Data'!J91</f>
        <v>0.11820652173913049</v>
      </c>
      <c r="K103" s="7">
        <f>('Imputed Data'!K103-'Imputed Data'!K91)/'Imputed Data'!K91</f>
        <v>-7.0287539936101876E-3</v>
      </c>
      <c r="L103" s="7">
        <f>('Imputed Data'!L103-'Imputed Data'!L91)/'Imputed Data'!L91</f>
        <v>0.10006626905235251</v>
      </c>
      <c r="M103" s="7">
        <f>('Imputed Data'!M103-'Imputed Data'!M91)/'Imputed Data'!M91</f>
        <v>7.8809106830121847E-3</v>
      </c>
      <c r="N103" s="7">
        <f>('Imputed Data'!N103-'Imputed Data'!N91)/'Imputed Data'!N91</f>
        <v>5.6426332288401257E-2</v>
      </c>
      <c r="O103" s="7">
        <f>('Imputed Data'!O103-'Imputed Data'!O91)/'Imputed Data'!O91</f>
        <v>0.14777618364418935</v>
      </c>
      <c r="P103" s="7">
        <f>('Imputed Data'!P103-'Imputed Data'!P91)/'Imputed Data'!P91</f>
        <v>6.5512978986402931E-2</v>
      </c>
      <c r="Q103" s="7">
        <f>('Imputed Data'!Q103-'Imputed Data'!Q91)/'Imputed Data'!Q91</f>
        <v>5.5844155844155807E-2</v>
      </c>
      <c r="R103" s="7">
        <f>('Imputed Data'!R103-'Imputed Data'!R91)/'Imputed Data'!R91</f>
        <v>3.9782016348773902E-2</v>
      </c>
      <c r="S103" s="7">
        <f>('Imputed Data'!S103-'Imputed Data'!S91)/'Imputed Data'!S91</f>
        <v>6.3606557377049108E-2</v>
      </c>
      <c r="T103" s="7">
        <f>('Imputed Data'!T103-'Imputed Data'!T91)/'Imputed Data'!T91</f>
        <v>5.1246537396121922E-2</v>
      </c>
      <c r="U103" s="7">
        <f>('Imputed Data'!U103-'Imputed Data'!U91)/'Imputed Data'!U91</f>
        <v>6.1426684280052726E-2</v>
      </c>
      <c r="V103" s="7">
        <f>('Imputed Data'!V103-'Imputed Data'!V91)/'Imputed Data'!V91</f>
        <v>3.7491919844861096E-2</v>
      </c>
      <c r="W103" s="7">
        <f>('Imputed Data'!W103-'Imputed Data'!W91)/'Imputed Data'!W91</f>
        <v>0.12614517265680059</v>
      </c>
      <c r="X103" s="7">
        <f>('Imputed Data'!X103-'Imputed Data'!X91)/'Imputed Data'!X91</f>
        <v>5.7377049180327905E-2</v>
      </c>
      <c r="Y103" s="7">
        <f>('Imputed Data'!Y103-'Imputed Data'!Y91)/'Imputed Data'!Y91</f>
        <v>7.7072538860103665E-2</v>
      </c>
      <c r="Z103" s="7">
        <f>('Imputed Data'!Z103-'Imputed Data'!Z91)/'Imputed Data'!Z91</f>
        <v>0.11629629629629622</v>
      </c>
      <c r="AA103" s="7">
        <f>('Imputed Data'!AA103-'Imputed Data'!AA91)/'Imputed Data'!AA91</f>
        <v>4.4504383007417353E-2</v>
      </c>
      <c r="AB103" s="7">
        <f>('Imputed Data'!AB103-'Imputed Data'!AB91)/'Imputed Data'!AB91</f>
        <v>3.3887468030690426E-2</v>
      </c>
      <c r="AC103" s="7">
        <f>('Imputed Data'!AC103-'Imputed Data'!AC91)/'Imputed Data'!AC91</f>
        <v>4.7493403693931513E-2</v>
      </c>
      <c r="AD103" s="7">
        <f>('Imputed Data'!AD103-'Imputed Data'!AD91)/'Imputed Data'!AD91</f>
        <v>7.2108843537414924E-2</v>
      </c>
      <c r="AE103" s="7">
        <f>('Imputed Data'!AE103-'Imputed Data'!AE91)/'Imputed Data'!AE91</f>
        <v>6.2582345191040833E-2</v>
      </c>
    </row>
    <row r="104" spans="1:31" x14ac:dyDescent="0.25">
      <c r="A104" s="1">
        <f>'Imputed Data'!A104</f>
        <v>44378</v>
      </c>
      <c r="B104" s="1" t="str">
        <f>'Imputed Data'!B104</f>
        <v>Rural+Urban</v>
      </c>
      <c r="C104" s="2">
        <f>'Imputed Data'!C104</f>
        <v>2021</v>
      </c>
      <c r="D104" s="1" t="str">
        <f>'Imputed Data'!D104</f>
        <v>July</v>
      </c>
      <c r="E104" s="7">
        <f>('Imputed Data'!E104-'Imputed Data'!E92)/'Imputed Data'!E92</f>
        <v>-2.1390374331550728E-2</v>
      </c>
      <c r="F104" s="7">
        <f>('Imputed Data'!F104-'Imputed Data'!F92)/'Imputed Data'!F92</f>
        <v>7.3170731707317194E-2</v>
      </c>
      <c r="G104" s="7">
        <f>('Imputed Data'!G104-'Imputed Data'!G92)/'Imputed Data'!G92</f>
        <v>0.20343461030383078</v>
      </c>
      <c r="H104" s="7">
        <f>('Imputed Data'!H104-'Imputed Data'!H92)/'Imputed Data'!H92</f>
        <v>2.7397260273972525E-2</v>
      </c>
      <c r="I104" s="7">
        <f>('Imputed Data'!I104-'Imputed Data'!I92)/'Imputed Data'!I92</f>
        <v>0.33602347762289053</v>
      </c>
      <c r="J104" s="7">
        <f>('Imputed Data'!J104-'Imputed Data'!J92)/'Imputed Data'!J92</f>
        <v>0.11345108695652187</v>
      </c>
      <c r="K104" s="7">
        <f>('Imputed Data'!K104-'Imputed Data'!K92)/'Imputed Data'!K92</f>
        <v>4.9201277955271495E-2</v>
      </c>
      <c r="L104" s="7">
        <f>('Imputed Data'!L104-'Imputed Data'!L92)/'Imputed Data'!L92</f>
        <v>8.6812458581842236E-2</v>
      </c>
      <c r="M104" s="7">
        <f>('Imputed Data'!M104-'Imputed Data'!M92)/'Imputed Data'!M92</f>
        <v>2.6269702276707279E-3</v>
      </c>
      <c r="N104" s="7">
        <f>('Imputed Data'!N104-'Imputed Data'!N92)/'Imputed Data'!N92</f>
        <v>5.5172413793103517E-2</v>
      </c>
      <c r="O104" s="7">
        <f>('Imputed Data'!O104-'Imputed Data'!O92)/'Imputed Data'!O92</f>
        <v>0.15423242467718795</v>
      </c>
      <c r="P104" s="7">
        <f>('Imputed Data'!P104-'Imputed Data'!P92)/'Imputed Data'!P92</f>
        <v>6.4276885043263149E-2</v>
      </c>
      <c r="Q104" s="7">
        <f>('Imputed Data'!Q104-'Imputed Data'!Q92)/'Imputed Data'!Q92</f>
        <v>6.4935064935064929E-2</v>
      </c>
      <c r="R104" s="7">
        <f>('Imputed Data'!R104-'Imputed Data'!R92)/'Imputed Data'!R92</f>
        <v>4.1961852861035362E-2</v>
      </c>
      <c r="S104" s="7">
        <f>('Imputed Data'!S104-'Imputed Data'!S92)/'Imputed Data'!S92</f>
        <v>6.7540983606557456E-2</v>
      </c>
      <c r="T104" s="7">
        <f>('Imputed Data'!T104-'Imputed Data'!T92)/'Imputed Data'!T92</f>
        <v>6.0249307479224294E-2</v>
      </c>
      <c r="U104" s="7">
        <f>('Imputed Data'!U104-'Imputed Data'!U92)/'Imputed Data'!U92</f>
        <v>6.6050198150594444E-2</v>
      </c>
      <c r="V104" s="7">
        <f>('Imputed Data'!V104-'Imputed Data'!V92)/'Imputed Data'!V92</f>
        <v>4.3956043956044036E-2</v>
      </c>
      <c r="W104" s="7">
        <f>('Imputed Data'!W104-'Imputed Data'!W92)/'Imputed Data'!W92</f>
        <v>0.13248766737138817</v>
      </c>
      <c r="X104" s="7">
        <f>('Imputed Data'!X104-'Imputed Data'!X92)/'Imputed Data'!X92</f>
        <v>6.4207650273224073E-2</v>
      </c>
      <c r="Y104" s="7">
        <f>('Imputed Data'!Y104-'Imputed Data'!Y92)/'Imputed Data'!Y92</f>
        <v>8.1606217616580268E-2</v>
      </c>
      <c r="Z104" s="7">
        <f>('Imputed Data'!Z104-'Imputed Data'!Z92)/'Imputed Data'!Z92</f>
        <v>0.13407407407407404</v>
      </c>
      <c r="AA104" s="7">
        <f>('Imputed Data'!AA104-'Imputed Data'!AA92)/'Imputed Data'!AA92</f>
        <v>4.7201618341200263E-2</v>
      </c>
      <c r="AB104" s="7">
        <f>('Imputed Data'!AB104-'Imputed Data'!AB92)/'Imputed Data'!AB92</f>
        <v>4.3478260869565105E-2</v>
      </c>
      <c r="AC104" s="7">
        <f>('Imputed Data'!AC104-'Imputed Data'!AC92)/'Imputed Data'!AC92</f>
        <v>5.6068601583113456E-2</v>
      </c>
      <c r="AD104" s="7">
        <f>('Imputed Data'!AD104-'Imputed Data'!AD92)/'Imputed Data'!AD92</f>
        <v>8.1632653061224483E-2</v>
      </c>
      <c r="AE104" s="7">
        <f>('Imputed Data'!AE104-'Imputed Data'!AE92)/'Imputed Data'!AE92</f>
        <v>7.0487483530961709E-2</v>
      </c>
    </row>
    <row r="105" spans="1:31" x14ac:dyDescent="0.25">
      <c r="A105" s="1">
        <f>'Imputed Data'!A105</f>
        <v>44409</v>
      </c>
      <c r="B105" s="1" t="str">
        <f>'Imputed Data'!B105</f>
        <v>Rural+Urban</v>
      </c>
      <c r="C105" s="2">
        <f>'Imputed Data'!C105</f>
        <v>2021</v>
      </c>
      <c r="D105" s="1" t="str">
        <f>'Imputed Data'!D105</f>
        <v>August</v>
      </c>
      <c r="E105" s="7">
        <f>('Imputed Data'!E105-'Imputed Data'!E93)/'Imputed Data'!E93</f>
        <v>-1.5446608462055146E-2</v>
      </c>
      <c r="F105" s="7">
        <f>('Imputed Data'!F105-'Imputed Data'!F93)/'Imputed Data'!F93</f>
        <v>6.8622315348349894E-2</v>
      </c>
      <c r="G105" s="7">
        <f>('Imputed Data'!G105-'Imputed Data'!G93)/'Imputed Data'!G93</f>
        <v>0.14588859416445621</v>
      </c>
      <c r="H105" s="7">
        <f>('Imputed Data'!H105-'Imputed Data'!H93)/'Imputed Data'!H93</f>
        <v>3.326810176125241E-2</v>
      </c>
      <c r="I105" s="7">
        <f>('Imputed Data'!I105-'Imputed Data'!I93)/'Imputed Data'!I93</f>
        <v>0.36826783114992717</v>
      </c>
      <c r="J105" s="7">
        <f>('Imputed Data'!J105-'Imputed Data'!J93)/'Imputed Data'!J93</f>
        <v>4.2553191489361736E-2</v>
      </c>
      <c r="K105" s="7">
        <f>('Imputed Data'!K105-'Imputed Data'!K93)/'Imputed Data'!K93</f>
        <v>-8.9275687815833837E-2</v>
      </c>
      <c r="L105" s="7">
        <f>('Imputed Data'!L105-'Imputed Data'!L93)/'Imputed Data'!L93</f>
        <v>9.109042553191482E-2</v>
      </c>
      <c r="M105" s="7">
        <f>('Imputed Data'!M105-'Imputed Data'!M93)/'Imputed Data'!M93</f>
        <v>3.9965247610773316E-2</v>
      </c>
      <c r="N105" s="7">
        <f>('Imputed Data'!N105-'Imputed Data'!N93)/'Imputed Data'!N93</f>
        <v>5.500000000000007E-2</v>
      </c>
      <c r="O105" s="7">
        <f>('Imputed Data'!O105-'Imputed Data'!O93)/'Imputed Data'!O93</f>
        <v>0.15718349928876241</v>
      </c>
      <c r="P105" s="7">
        <f>('Imputed Data'!P105-'Imputed Data'!P93)/'Imputed Data'!P93</f>
        <v>7.14725816389402E-2</v>
      </c>
      <c r="Q105" s="7">
        <f>('Imputed Data'!Q105-'Imputed Data'!Q93)/'Imputed Data'!Q93</f>
        <v>4.4585987261146494E-2</v>
      </c>
      <c r="R105" s="7">
        <f>('Imputed Data'!R105-'Imputed Data'!R93)/'Imputed Data'!R93</f>
        <v>5.2026286966046005E-2</v>
      </c>
      <c r="S105" s="7">
        <f>('Imputed Data'!S105-'Imputed Data'!S93)/'Imputed Data'!S93</f>
        <v>7.446113651208365E-2</v>
      </c>
      <c r="T105" s="7">
        <f>('Imputed Data'!T105-'Imputed Data'!T93)/'Imputed Data'!T93</f>
        <v>8.2984658298465866E-2</v>
      </c>
      <c r="U105" s="7">
        <f>('Imputed Data'!U105-'Imputed Data'!U93)/'Imputed Data'!U93</f>
        <v>7.5807514831905079E-2</v>
      </c>
      <c r="V105" s="7">
        <f>('Imputed Data'!V105-'Imputed Data'!V93)/'Imputed Data'!V93</f>
        <v>4.2443729903536939E-2</v>
      </c>
      <c r="W105" s="7">
        <f>('Imputed Data'!W105-'Imputed Data'!W93)/'Imputed Data'!W93</f>
        <v>0.13706293706293701</v>
      </c>
      <c r="X105" s="7">
        <f>('Imputed Data'!X105-'Imputed Data'!X93)/'Imputed Data'!X93</f>
        <v>6.1320754716981091E-2</v>
      </c>
      <c r="Y105" s="7">
        <f>('Imputed Data'!Y105-'Imputed Data'!Y93)/'Imputed Data'!Y93</f>
        <v>8.6451612903225838E-2</v>
      </c>
      <c r="Z105" s="7">
        <f>('Imputed Data'!Z105-'Imputed Data'!Z93)/'Imputed Data'!Z93</f>
        <v>0.11191335740072202</v>
      </c>
      <c r="AA105" s="7">
        <f>('Imputed Data'!AA105-'Imputed Data'!AA93)/'Imputed Data'!AA93</f>
        <v>7.9452054794520513E-2</v>
      </c>
      <c r="AB105" s="7">
        <f>('Imputed Data'!AB105-'Imputed Data'!AB93)/'Imputed Data'!AB93</f>
        <v>3.3438485804416475E-2</v>
      </c>
      <c r="AC105" s="7">
        <f>('Imputed Data'!AC105-'Imputed Data'!AC93)/'Imputed Data'!AC93</f>
        <v>3.6941023979261106E-2</v>
      </c>
      <c r="AD105" s="7">
        <f>('Imputed Data'!AD105-'Imputed Data'!AD93)/'Imputed Data'!AD93</f>
        <v>7.3825503355704702E-2</v>
      </c>
      <c r="AE105" s="7">
        <f>('Imputed Data'!AE105-'Imputed Data'!AE93)/'Imputed Data'!AE93</f>
        <v>6.0428849902533999E-2</v>
      </c>
    </row>
    <row r="106" spans="1:31" x14ac:dyDescent="0.25">
      <c r="A106" s="1">
        <f>'Imputed Data'!A106</f>
        <v>44440</v>
      </c>
      <c r="B106" s="1" t="str">
        <f>'Imputed Data'!B106</f>
        <v>Rural+Urban</v>
      </c>
      <c r="C106" s="2">
        <f>'Imputed Data'!C106</f>
        <v>2021</v>
      </c>
      <c r="D106" s="1" t="str">
        <f>'Imputed Data'!D106</f>
        <v>September</v>
      </c>
      <c r="E106" s="7">
        <f>('Imputed Data'!E106-'Imputed Data'!E94)/'Imputed Data'!E94</f>
        <v>-1.2129380053908432E-2</v>
      </c>
      <c r="F106" s="7">
        <f>('Imputed Data'!F106-'Imputed Data'!F94)/'Imputed Data'!F94</f>
        <v>9.0326028861571386E-2</v>
      </c>
      <c r="G106" s="7">
        <f>('Imputed Data'!G106-'Imputed Data'!G94)/'Imputed Data'!G94</f>
        <v>0.13311475409836074</v>
      </c>
      <c r="H106" s="7">
        <f>('Imputed Data'!H106-'Imputed Data'!H94)/'Imputed Data'!H94</f>
        <v>3.1250000000000076E-2</v>
      </c>
      <c r="I106" s="7">
        <f>('Imputed Data'!I106-'Imputed Data'!I94)/'Imputed Data'!I94</f>
        <v>0.36034732272069475</v>
      </c>
      <c r="J106" s="7">
        <f>('Imputed Data'!J106-'Imputed Data'!J94)/'Imputed Data'!J94</f>
        <v>3.8436050364479675E-2</v>
      </c>
      <c r="K106" s="7">
        <f>('Imputed Data'!K106-'Imputed Data'!K94)/'Imputed Data'!K94</f>
        <v>-0.13069094804499184</v>
      </c>
      <c r="L106" s="7">
        <f>('Imputed Data'!L106-'Imputed Data'!L94)/'Imputed Data'!L94</f>
        <v>9.5460614152202819E-2</v>
      </c>
      <c r="M106" s="7">
        <f>('Imputed Data'!M106-'Imputed Data'!M94)/'Imputed Data'!M94</f>
        <v>2.8350515463917501E-2</v>
      </c>
      <c r="N106" s="7">
        <f>('Imputed Data'!N106-'Imputed Data'!N94)/'Imputed Data'!N94</f>
        <v>5.3025577043044288E-2</v>
      </c>
      <c r="O106" s="7">
        <f>('Imputed Data'!O106-'Imputed Data'!O94)/'Imputed Data'!O94</f>
        <v>0.14416315049226444</v>
      </c>
      <c r="P106" s="7">
        <f>('Imputed Data'!P106-'Imputed Data'!P94)/'Imputed Data'!P94</f>
        <v>6.7526089625537133E-2</v>
      </c>
      <c r="Q106" s="7">
        <f>('Imputed Data'!Q106-'Imputed Data'!Q94)/'Imputed Data'!Q94</f>
        <v>3.7974683544303799E-2</v>
      </c>
      <c r="R106" s="7">
        <f>('Imputed Data'!R106-'Imputed Data'!R94)/'Imputed Data'!R94</f>
        <v>4.1757049891540068E-2</v>
      </c>
      <c r="S106" s="7">
        <f>('Imputed Data'!S106-'Imputed Data'!S94)/'Imputed Data'!S94</f>
        <v>7.3011734028683106E-2</v>
      </c>
      <c r="T106" s="7">
        <f>('Imputed Data'!T106-'Imputed Data'!T94)/'Imputed Data'!T94</f>
        <v>7.623007623007623E-2</v>
      </c>
      <c r="U106" s="7">
        <f>('Imputed Data'!U106-'Imputed Data'!U94)/'Imputed Data'!U94</f>
        <v>7.4342105263157973E-2</v>
      </c>
      <c r="V106" s="7">
        <f>('Imputed Data'!V106-'Imputed Data'!V94)/'Imputed Data'!V94</f>
        <v>3.7108125399871926E-2</v>
      </c>
      <c r="W106" s="7">
        <f>('Imputed Data'!W106-'Imputed Data'!W94)/'Imputed Data'!W94</f>
        <v>0.13785864240727774</v>
      </c>
      <c r="X106" s="7">
        <f>('Imputed Data'!X106-'Imputed Data'!X94)/'Imputed Data'!X94</f>
        <v>5.9179556153328934E-2</v>
      </c>
      <c r="Y106" s="7">
        <f>('Imputed Data'!Y106-'Imputed Data'!Y94)/'Imputed Data'!Y94</f>
        <v>8.2262210796915244E-2</v>
      </c>
      <c r="Z106" s="7">
        <f>('Imputed Data'!Z106-'Imputed Data'!Z94)/'Imputed Data'!Z94</f>
        <v>0.10315186246418342</v>
      </c>
      <c r="AA106" s="7">
        <f>('Imputed Data'!AA106-'Imputed Data'!AA94)/'Imputed Data'!AA94</f>
        <v>7.5716234652114564E-2</v>
      </c>
      <c r="AB106" s="7">
        <f>('Imputed Data'!AB106-'Imputed Data'!AB94)/'Imputed Data'!AB94</f>
        <v>3.936507936507929E-2</v>
      </c>
      <c r="AC106" s="7">
        <f>('Imputed Data'!AC106-'Imputed Data'!AC94)/'Imputed Data'!AC94</f>
        <v>1.0101010101010065E-2</v>
      </c>
      <c r="AD106" s="7">
        <f>('Imputed Data'!AD106-'Imputed Data'!AD94)/'Imputed Data'!AD94</f>
        <v>6.6666666666666666E-2</v>
      </c>
      <c r="AE106" s="7">
        <f>('Imputed Data'!AE106-'Imputed Data'!AE94)/'Imputed Data'!AE94</f>
        <v>5.4945054945054951E-2</v>
      </c>
    </row>
    <row r="107" spans="1:31" x14ac:dyDescent="0.25">
      <c r="A107" s="1">
        <f>'Imputed Data'!A107</f>
        <v>44470</v>
      </c>
      <c r="B107" s="1" t="str">
        <f>'Imputed Data'!B107</f>
        <v>Rural+Urban</v>
      </c>
      <c r="C107" s="2">
        <f>'Imputed Data'!C107</f>
        <v>2021</v>
      </c>
      <c r="D107" s="1" t="str">
        <f>'Imputed Data'!D107</f>
        <v>October</v>
      </c>
      <c r="E107" s="7">
        <f>('Imputed Data'!E107-'Imputed Data'!E95)/'Imputed Data'!E95</f>
        <v>-6.779661016948767E-4</v>
      </c>
      <c r="F107" s="7">
        <f>('Imputed Data'!F107-'Imputed Data'!F95)/'Imputed Data'!F95</f>
        <v>8.311275807305446E-2</v>
      </c>
      <c r="G107" s="7">
        <f>('Imputed Data'!G107-'Imputed Data'!G95)/'Imputed Data'!G95</f>
        <v>6.0718711276331987E-2</v>
      </c>
      <c r="H107" s="7">
        <f>('Imputed Data'!H107-'Imputed Data'!H95)/'Imputed Data'!H95</f>
        <v>3.3203124999999965E-2</v>
      </c>
      <c r="I107" s="7">
        <f>('Imputed Data'!I107-'Imputed Data'!I95)/'Imputed Data'!I95</f>
        <v>0.36045681655960032</v>
      </c>
      <c r="J107" s="7">
        <f>('Imputed Data'!J107-'Imputed Data'!J95)/'Imputed Data'!J95</f>
        <v>2.9761904761904764E-2</v>
      </c>
      <c r="K107" s="7">
        <f>('Imputed Data'!K107-'Imputed Data'!K95)/'Imputed Data'!K95</f>
        <v>-0.11424474187380487</v>
      </c>
      <c r="L107" s="7">
        <f>('Imputed Data'!L107-'Imputed Data'!L95)/'Imputed Data'!L95</f>
        <v>9.476474486414832E-2</v>
      </c>
      <c r="M107" s="7">
        <f>('Imputed Data'!M107-'Imputed Data'!M95)/'Imputed Data'!M95</f>
        <v>4.9053356282271969E-2</v>
      </c>
      <c r="N107" s="7">
        <f>('Imputed Data'!N107-'Imputed Data'!N95)/'Imputed Data'!N95</f>
        <v>5.1552795031055969E-2</v>
      </c>
      <c r="O107" s="7">
        <f>('Imputed Data'!O107-'Imputed Data'!O95)/'Imputed Data'!O95</f>
        <v>0.13333333333333325</v>
      </c>
      <c r="P107" s="7">
        <f>('Imputed Data'!P107-'Imputed Data'!P95)/'Imputed Data'!P95</f>
        <v>7.0465686274509803E-2</v>
      </c>
      <c r="Q107" s="7">
        <f>('Imputed Data'!Q107-'Imputed Data'!Q95)/'Imputed Data'!Q95</f>
        <v>3.9033457249070522E-2</v>
      </c>
      <c r="R107" s="7">
        <f>('Imputed Data'!R107-'Imputed Data'!R95)/'Imputed Data'!R95</f>
        <v>4.5577862181226135E-2</v>
      </c>
      <c r="S107" s="7">
        <f>('Imputed Data'!S107-'Imputed Data'!S95)/'Imputed Data'!S95</f>
        <v>7.8074170461938847E-2</v>
      </c>
      <c r="T107" s="7">
        <f>('Imputed Data'!T107-'Imputed Data'!T95)/'Imputed Data'!T95</f>
        <v>8.0912863070539534E-2</v>
      </c>
      <c r="U107" s="7">
        <f>('Imputed Data'!U107-'Imputed Data'!U95)/'Imputed Data'!U95</f>
        <v>7.8791858174655283E-2</v>
      </c>
      <c r="V107" s="7">
        <f>('Imputed Data'!V107-'Imputed Data'!V95)/'Imputed Data'!V95</f>
        <v>4.5367412140575041E-2</v>
      </c>
      <c r="W107" s="7">
        <f>('Imputed Data'!W107-'Imputed Data'!W95)/'Imputed Data'!W95</f>
        <v>0.14744933612858138</v>
      </c>
      <c r="X107" s="7">
        <f>('Imputed Data'!X107-'Imputed Data'!X95)/'Imputed Data'!X95</f>
        <v>6.5232010759919426E-2</v>
      </c>
      <c r="Y107" s="7">
        <f>('Imputed Data'!Y107-'Imputed Data'!Y95)/'Imputed Data'!Y95</f>
        <v>8.189379398592439E-2</v>
      </c>
      <c r="Z107" s="7">
        <f>('Imputed Data'!Z107-'Imputed Data'!Z95)/'Imputed Data'!Z95</f>
        <v>0.10739687055476525</v>
      </c>
      <c r="AA107" s="7">
        <f>('Imputed Data'!AA107-'Imputed Data'!AA95)/'Imputed Data'!AA95</f>
        <v>8.2593856655290065E-2</v>
      </c>
      <c r="AB107" s="7">
        <f>('Imputed Data'!AB107-'Imputed Data'!AB95)/'Imputed Data'!AB95</f>
        <v>3.4069400630914862E-2</v>
      </c>
      <c r="AC107" s="7">
        <f>('Imputed Data'!AC107-'Imputed Data'!AC95)/'Imputed Data'!AC95</f>
        <v>2.4203821656051026E-2</v>
      </c>
      <c r="AD107" s="7">
        <f>('Imputed Data'!AD107-'Imputed Data'!AD95)/'Imputed Data'!AD95</f>
        <v>7.0478723404255275E-2</v>
      </c>
      <c r="AE107" s="7">
        <f>('Imputed Data'!AE107-'Imputed Data'!AE95)/'Imputed Data'!AE95</f>
        <v>5.8184143222506354E-2</v>
      </c>
    </row>
    <row r="108" spans="1:31" x14ac:dyDescent="0.25">
      <c r="A108" s="1">
        <f>'Imputed Data'!A108</f>
        <v>44501</v>
      </c>
      <c r="B108" s="1" t="str">
        <f>'Imputed Data'!B108</f>
        <v>Rural+Urban</v>
      </c>
      <c r="C108" s="2">
        <f>'Imputed Data'!C108</f>
        <v>2021</v>
      </c>
      <c r="D108" s="1" t="str">
        <f>'Imputed Data'!D108</f>
        <v>November</v>
      </c>
      <c r="E108" s="7">
        <f>('Imputed Data'!E108-'Imputed Data'!E96)/'Imputed Data'!E96</f>
        <v>9.5367847411442584E-3</v>
      </c>
      <c r="F108" s="7">
        <f>('Imputed Data'!F108-'Imputed Data'!F96)/'Imputed Data'!F96</f>
        <v>5.5497382198952852E-2</v>
      </c>
      <c r="G108" s="7">
        <f>('Imputed Data'!G108-'Imputed Data'!G96)/'Imputed Data'!G96</f>
        <v>-3.4562211981566493E-3</v>
      </c>
      <c r="H108" s="7">
        <f>('Imputed Data'!H108-'Imputed Data'!H96)/'Imputed Data'!H96</f>
        <v>3.5760728218465536E-2</v>
      </c>
      <c r="I108" s="7">
        <f>('Imputed Data'!I108-'Imputed Data'!I96)/'Imputed Data'!I96</f>
        <v>0.33216538192011219</v>
      </c>
      <c r="J108" s="7">
        <f>('Imputed Data'!J108-'Imputed Data'!J96)/'Imputed Data'!J96</f>
        <v>5.458221024258756E-2</v>
      </c>
      <c r="K108" s="7">
        <f>('Imputed Data'!K108-'Imputed Data'!K96)/'Imputed Data'!K96</f>
        <v>-0.13391304347826091</v>
      </c>
      <c r="L108" s="7">
        <f>('Imputed Data'!L108-'Imputed Data'!L96)/'Imputed Data'!L96</f>
        <v>5.4209183673469385E-2</v>
      </c>
      <c r="M108" s="7">
        <f>('Imputed Data'!M108-'Imputed Data'!M96)/'Imputed Data'!M96</f>
        <v>5.79083837510804E-2</v>
      </c>
      <c r="N108" s="7">
        <f>('Imputed Data'!N108-'Imputed Data'!N96)/'Imputed Data'!N96</f>
        <v>4.8207663782447355E-2</v>
      </c>
      <c r="O108" s="7">
        <f>('Imputed Data'!O108-'Imputed Data'!O96)/'Imputed Data'!O96</f>
        <v>0.11740614334470982</v>
      </c>
      <c r="P108" s="7">
        <f>('Imputed Data'!P108-'Imputed Data'!P96)/'Imputed Data'!P96</f>
        <v>7.1428571428571355E-2</v>
      </c>
      <c r="Q108" s="7">
        <f>('Imputed Data'!Q108-'Imputed Data'!Q96)/'Imputed Data'!Q96</f>
        <v>3.0358227079538558E-2</v>
      </c>
      <c r="R108" s="7">
        <f>('Imputed Data'!R108-'Imputed Data'!R96)/'Imputed Data'!R96</f>
        <v>4.3831168831168797E-2</v>
      </c>
      <c r="S108" s="7">
        <f>('Imputed Data'!S108-'Imputed Data'!S96)/'Imputed Data'!S96</f>
        <v>8.3603370058327783E-2</v>
      </c>
      <c r="T108" s="7">
        <f>('Imputed Data'!T108-'Imputed Data'!T96)/'Imputed Data'!T96</f>
        <v>8.6266390614216704E-2</v>
      </c>
      <c r="U108" s="7">
        <f>('Imputed Data'!U108-'Imputed Data'!U96)/'Imputed Data'!U96</f>
        <v>8.5078534031413605E-2</v>
      </c>
      <c r="V108" s="7">
        <f>('Imputed Data'!V108-'Imputed Data'!V96)/'Imputed Data'!V96</f>
        <v>3.9240506329113849E-2</v>
      </c>
      <c r="W108" s="7">
        <f>('Imputed Data'!W108-'Imputed Data'!W96)/'Imputed Data'!W96</f>
        <v>0.14136490250696387</v>
      </c>
      <c r="X108" s="7">
        <f>('Imputed Data'!X108-'Imputed Data'!X96)/'Imputed Data'!X96</f>
        <v>6.7694369973190505E-2</v>
      </c>
      <c r="Y108" s="7">
        <f>('Imputed Data'!Y108-'Imputed Data'!Y96)/'Imputed Data'!Y96</f>
        <v>8.0788804071246931E-2</v>
      </c>
      <c r="Z108" s="7">
        <f>('Imputed Data'!Z108-'Imputed Data'!Z96)/'Imputed Data'!Z96</f>
        <v>0.1025641025641026</v>
      </c>
      <c r="AA108" s="7">
        <f>('Imputed Data'!AA108-'Imputed Data'!AA96)/'Imputed Data'!AA96</f>
        <v>7.6819407008086288E-2</v>
      </c>
      <c r="AB108" s="7">
        <f>('Imputed Data'!AB108-'Imputed Data'!AB96)/'Imputed Data'!AB96</f>
        <v>3.5939470365699985E-2</v>
      </c>
      <c r="AC108" s="7">
        <f>('Imputed Data'!AC108-'Imputed Data'!AC96)/'Imputed Data'!AC96</f>
        <v>3.3779477374123533E-2</v>
      </c>
      <c r="AD108" s="7">
        <f>('Imputed Data'!AD108-'Imputed Data'!AD96)/'Imputed Data'!AD96</f>
        <v>7.100199071002003E-2</v>
      </c>
      <c r="AE108" s="7">
        <f>('Imputed Data'!AE108-'Imputed Data'!AE96)/'Imputed Data'!AE96</f>
        <v>5.2398989898989792E-2</v>
      </c>
    </row>
    <row r="109" spans="1:31" x14ac:dyDescent="0.25">
      <c r="A109" s="1">
        <f>'Imputed Data'!A109</f>
        <v>44531</v>
      </c>
      <c r="B109" s="1" t="str">
        <f>'Imputed Data'!B109</f>
        <v>Rural+Urban</v>
      </c>
      <c r="C109" s="2">
        <f>'Imputed Data'!C109</f>
        <v>2021</v>
      </c>
      <c r="D109" s="1" t="str">
        <f>'Imputed Data'!D109</f>
        <v>December</v>
      </c>
      <c r="E109" s="7">
        <f>('Imputed Data'!E109-'Imputed Data'!E97)/'Imputed Data'!E97</f>
        <v>1.8493150684931427E-2</v>
      </c>
      <c r="F109" s="7">
        <f>('Imputed Data'!F109-'Imputed Data'!F97)/'Imputed Data'!F97</f>
        <v>4.0837696335078597E-2</v>
      </c>
      <c r="G109" s="7">
        <f>('Imputed Data'!G109-'Imputed Data'!G97)/'Imputed Data'!G97</f>
        <v>1.4831717056474581E-2</v>
      </c>
      <c r="H109" s="7">
        <f>('Imputed Data'!H109-'Imputed Data'!H97)/'Imputed Data'!H97</f>
        <v>3.7637897469175938E-2</v>
      </c>
      <c r="I109" s="7">
        <f>('Imputed Data'!I109-'Imputed Data'!I97)/'Imputed Data'!I97</f>
        <v>0.27967257844474763</v>
      </c>
      <c r="J109" s="7">
        <f>('Imputed Data'!J109-'Imputed Data'!J97)/'Imputed Data'!J97</f>
        <v>4.874746106973607E-2</v>
      </c>
      <c r="K109" s="7">
        <f>('Imputed Data'!K109-'Imputed Data'!K97)/'Imputed Data'!K97</f>
        <v>-0.1830802603036876</v>
      </c>
      <c r="L109" s="7">
        <f>('Imputed Data'!L109-'Imputed Data'!L97)/'Imputed Data'!L97</f>
        <v>2.6217228464419585E-2</v>
      </c>
      <c r="M109" s="7">
        <f>('Imputed Data'!M109-'Imputed Data'!M97)/'Imputed Data'!M97</f>
        <v>4.9436253252385105E-2</v>
      </c>
      <c r="N109" s="7">
        <f>('Imputed Data'!N109-'Imputed Data'!N97)/'Imputed Data'!N97</f>
        <v>4.6012269938650305E-2</v>
      </c>
      <c r="O109" s="7">
        <f>('Imputed Data'!O109-'Imputed Data'!O97)/'Imputed Data'!O97</f>
        <v>0.10053619302949063</v>
      </c>
      <c r="P109" s="7">
        <f>('Imputed Data'!P109-'Imputed Data'!P97)/'Imputed Data'!P97</f>
        <v>7.0995145631067888E-2</v>
      </c>
      <c r="Q109" s="7">
        <f>('Imputed Data'!Q109-'Imputed Data'!Q97)/'Imputed Data'!Q97</f>
        <v>1.6928657799274383E-2</v>
      </c>
      <c r="R109" s="7">
        <f>('Imputed Data'!R109-'Imputed Data'!R97)/'Imputed Data'!R97</f>
        <v>3.7756202804746494E-2</v>
      </c>
      <c r="S109" s="7">
        <f>('Imputed Data'!S109-'Imputed Data'!S97)/'Imputed Data'!S97</f>
        <v>8.7096774193548387E-2</v>
      </c>
      <c r="T109" s="7">
        <f>('Imputed Data'!T109-'Imputed Data'!T97)/'Imputed Data'!T97</f>
        <v>9.1471801925722018E-2</v>
      </c>
      <c r="U109" s="7">
        <f>('Imputed Data'!U109-'Imputed Data'!U97)/'Imputed Data'!U97</f>
        <v>8.723958333333337E-2</v>
      </c>
      <c r="V109" s="7">
        <f>('Imputed Data'!V109-'Imputed Data'!V97)/'Imputed Data'!V97</f>
        <v>3.1565656565656568E-2</v>
      </c>
      <c r="W109" s="7">
        <f>('Imputed Data'!W109-'Imputed Data'!W97)/'Imputed Data'!W97</f>
        <v>0.13485477178423236</v>
      </c>
      <c r="X109" s="7">
        <f>('Imputed Data'!X109-'Imputed Data'!X97)/'Imputed Data'!X97</f>
        <v>7.0140280561122245E-2</v>
      </c>
      <c r="Y109" s="7">
        <f>('Imputed Data'!Y109-'Imputed Data'!Y97)/'Imputed Data'!Y97</f>
        <v>7.7700568540745307E-2</v>
      </c>
      <c r="Z109" s="7">
        <f>('Imputed Data'!Z109-'Imputed Data'!Z97)/'Imputed Data'!Z97</f>
        <v>0.10660980810234542</v>
      </c>
      <c r="AA109" s="7">
        <f>('Imputed Data'!AA109-'Imputed Data'!AA97)/'Imputed Data'!AA97</f>
        <v>8.1481481481481446E-2</v>
      </c>
      <c r="AB109" s="7">
        <f>('Imputed Data'!AB109-'Imputed Data'!AB97)/'Imputed Data'!AB97</f>
        <v>3.1367628607277286E-2</v>
      </c>
      <c r="AC109" s="7">
        <f>('Imputed Data'!AC109-'Imputed Data'!AC97)/'Imputed Data'!AC97</f>
        <v>3.5009548058561428E-2</v>
      </c>
      <c r="AD109" s="7">
        <f>('Imputed Data'!AD109-'Imputed Data'!AD97)/'Imputed Data'!AD97</f>
        <v>7.1428571428571508E-2</v>
      </c>
      <c r="AE109" s="7">
        <f>('Imputed Data'!AE109-'Imputed Data'!AE97)/'Imputed Data'!AE97</f>
        <v>4.5940843297671383E-2</v>
      </c>
    </row>
    <row r="110" spans="1:31" x14ac:dyDescent="0.25">
      <c r="A110" s="1">
        <f>'Imputed Data'!A110</f>
        <v>44562</v>
      </c>
      <c r="B110" s="1" t="str">
        <f>'Imputed Data'!B110</f>
        <v>Rural+Urban</v>
      </c>
      <c r="C110" s="2">
        <f>'Imputed Data'!C110</f>
        <v>2022</v>
      </c>
      <c r="D110" s="1" t="str">
        <f>'Imputed Data'!D110</f>
        <v>January</v>
      </c>
      <c r="E110" s="7">
        <f>('Imputed Data'!E110-'Imputed Data'!E98)/'Imputed Data'!E98</f>
        <v>3.1746031746031703E-2</v>
      </c>
      <c r="F110" s="7">
        <f>('Imputed Data'!F110-'Imputed Data'!F98)/'Imputed Data'!F98</f>
        <v>4.5239347711730639E-2</v>
      </c>
      <c r="G110" s="7">
        <f>('Imputed Data'!G110-'Imputed Data'!G98)/'Imputed Data'!G98</f>
        <v>1.9965772960638905E-2</v>
      </c>
      <c r="H110" s="7">
        <f>('Imputed Data'!H110-'Imputed Data'!H98)/'Imputed Data'!H98</f>
        <v>4.1531473069435471E-2</v>
      </c>
      <c r="I110" s="7">
        <f>('Imputed Data'!I110-'Imputed Data'!I98)/'Imputed Data'!I98</f>
        <v>0.22398939695162348</v>
      </c>
      <c r="J110" s="7">
        <f>('Imputed Data'!J110-'Imputed Data'!J98)/'Imputed Data'!J98</f>
        <v>2.7406417112299429E-2</v>
      </c>
      <c r="K110" s="7">
        <f>('Imputed Data'!K110-'Imputed Data'!K98)/'Imputed Data'!K98</f>
        <v>-0.10247167868177126</v>
      </c>
      <c r="L110" s="7">
        <f>('Imputed Data'!L110-'Imputed Data'!L98)/'Imputed Data'!L98</f>
        <v>2.1820448877805484E-2</v>
      </c>
      <c r="M110" s="7">
        <f>('Imputed Data'!M110-'Imputed Data'!M98)/'Imputed Data'!M98</f>
        <v>4.7120418848167589E-2</v>
      </c>
      <c r="N110" s="7">
        <f>('Imputed Data'!N110-'Imputed Data'!N98)/'Imputed Data'!N98</f>
        <v>4.9390243902438992E-2</v>
      </c>
      <c r="O110" s="7">
        <f>('Imputed Data'!O110-'Imputed Data'!O98)/'Imputed Data'!O98</f>
        <v>8.2345191040843202E-2</v>
      </c>
      <c r="P110" s="7">
        <f>('Imputed Data'!P110-'Imputed Data'!P98)/'Imputed Data'!P98</f>
        <v>7.0652173913043584E-2</v>
      </c>
      <c r="Q110" s="7">
        <f>('Imputed Data'!Q110-'Imputed Data'!Q98)/'Imputed Data'!Q98</f>
        <v>3.3540372670807492E-2</v>
      </c>
      <c r="R110" s="7">
        <f>('Imputed Data'!R110-'Imputed Data'!R98)/'Imputed Data'!R98</f>
        <v>3.0563002680965085E-2</v>
      </c>
      <c r="S110" s="7">
        <f>('Imputed Data'!S110-'Imputed Data'!S98)/'Imputed Data'!S98</f>
        <v>9.2604501607717077E-2</v>
      </c>
      <c r="T110" s="7">
        <f>('Imputed Data'!T110-'Imputed Data'!T98)/'Imputed Data'!T98</f>
        <v>9.9931553730321657E-2</v>
      </c>
      <c r="U110" s="7">
        <f>('Imputed Data'!U110-'Imputed Data'!U98)/'Imputed Data'!U98</f>
        <v>9.273670557717259E-2</v>
      </c>
      <c r="V110" s="7">
        <f>('Imputed Data'!V110-'Imputed Data'!V98)/'Imputed Data'!V98</f>
        <v>4.3119847812301916E-2</v>
      </c>
      <c r="W110" s="7">
        <f>('Imputed Data'!W110-'Imputed Data'!W98)/'Imputed Data'!W98</f>
        <v>0.11020960108181191</v>
      </c>
      <c r="X110" s="7">
        <f>('Imputed Data'!X110-'Imputed Data'!X98)/'Imputed Data'!X98</f>
        <v>7.3999999999999969E-2</v>
      </c>
      <c r="Y110" s="7">
        <f>('Imputed Data'!Y110-'Imputed Data'!Y98)/'Imputed Data'!Y98</f>
        <v>7.5957313245448799E-2</v>
      </c>
      <c r="Z110" s="7">
        <f>('Imputed Data'!Z110-'Imputed Data'!Z98)/'Imputed Data'!Z98</f>
        <v>0.10288935870331214</v>
      </c>
      <c r="AA110" s="7">
        <f>('Imputed Data'!AA110-'Imputed Data'!AA98)/'Imputed Data'!AA98</f>
        <v>7.7540106951871621E-2</v>
      </c>
      <c r="AB110" s="7">
        <f>('Imputed Data'!AB110-'Imputed Data'!AB98)/'Imputed Data'!AB98</f>
        <v>3.4547738693467341E-2</v>
      </c>
      <c r="AC110" s="7">
        <f>('Imputed Data'!AC110-'Imputed Data'!AC98)/'Imputed Data'!AC98</f>
        <v>3.9540816326530538E-2</v>
      </c>
      <c r="AD110" s="7">
        <f>('Imputed Data'!AD110-'Imputed Data'!AD98)/'Imputed Data'!AD98</f>
        <v>7.1099407504937345E-2</v>
      </c>
      <c r="AE110" s="7">
        <f>('Imputed Data'!AE110-'Imputed Data'!AE98)/'Imputed Data'!AE98</f>
        <v>5.3401144310235071E-2</v>
      </c>
    </row>
    <row r="111" spans="1:31" x14ac:dyDescent="0.25">
      <c r="A111" s="1">
        <f>'Imputed Data'!A111</f>
        <v>44593</v>
      </c>
      <c r="B111" s="1" t="str">
        <f>'Imputed Data'!B111</f>
        <v>Rural+Urban</v>
      </c>
      <c r="C111" s="2">
        <f>'Imputed Data'!C111</f>
        <v>2022</v>
      </c>
      <c r="D111" s="1" t="str">
        <f>'Imputed Data'!D111</f>
        <v>February</v>
      </c>
      <c r="E111" s="7">
        <f>('Imputed Data'!E111-'Imputed Data'!E99)/'Imputed Data'!E99</f>
        <v>3.950103950103942E-2</v>
      </c>
      <c r="F111" s="7">
        <f>('Imputed Data'!F111-'Imputed Data'!F99)/'Imputed Data'!F99</f>
        <v>7.5603217158176916E-2</v>
      </c>
      <c r="G111" s="7">
        <f>('Imputed Data'!G111-'Imputed Data'!G99)/'Imputed Data'!G99</f>
        <v>4.2086544161233093E-2</v>
      </c>
      <c r="H111" s="7">
        <f>('Imputed Data'!H111-'Imputed Data'!H99)/'Imputed Data'!H99</f>
        <v>3.8784744667097609E-2</v>
      </c>
      <c r="I111" s="7">
        <f>('Imputed Data'!I111-'Imputed Data'!I99)/'Imputed Data'!I99</f>
        <v>0.16509136735979849</v>
      </c>
      <c r="J111" s="7">
        <f>('Imputed Data'!J111-'Imputed Data'!J99)/'Imputed Data'!J99</f>
        <v>1.9907100199071003E-2</v>
      </c>
      <c r="K111" s="7">
        <f>('Imputed Data'!K111-'Imputed Data'!K99)/'Imputed Data'!K99</f>
        <v>6.0624999999999929E-2</v>
      </c>
      <c r="L111" s="7">
        <f>('Imputed Data'!L111-'Imputed Data'!L99)/'Imputed Data'!L99</f>
        <v>3.0856423173803382E-2</v>
      </c>
      <c r="M111" s="7">
        <f>('Imputed Data'!M111-'Imputed Data'!M99)/'Imputed Data'!M99</f>
        <v>5.4078014184397241E-2</v>
      </c>
      <c r="N111" s="7">
        <f>('Imputed Data'!N111-'Imputed Data'!N99)/'Imputed Data'!N99</f>
        <v>6.1510353227771153E-2</v>
      </c>
      <c r="O111" s="7">
        <f>('Imputed Data'!O111-'Imputed Data'!O99)/'Imputed Data'!O99</f>
        <v>5.9163987138263589E-2</v>
      </c>
      <c r="P111" s="7">
        <f>('Imputed Data'!P111-'Imputed Data'!P99)/'Imputed Data'!P99</f>
        <v>6.2686567164179099E-2</v>
      </c>
      <c r="Q111" s="7">
        <f>('Imputed Data'!Q111-'Imputed Data'!Q99)/'Imputed Data'!Q99</f>
        <v>5.9273422562141381E-2</v>
      </c>
      <c r="R111" s="7">
        <f>('Imputed Data'!R111-'Imputed Data'!R99)/'Imputed Data'!R99</f>
        <v>2.3898035050451405E-2</v>
      </c>
      <c r="S111" s="7">
        <f>('Imputed Data'!S111-'Imputed Data'!S99)/'Imputed Data'!S99</f>
        <v>8.6513994910941625E-2</v>
      </c>
      <c r="T111" s="7">
        <f>('Imputed Data'!T111-'Imputed Data'!T99)/'Imputed Data'!T99</f>
        <v>0.10176390773405698</v>
      </c>
      <c r="U111" s="7">
        <f>('Imputed Data'!U111-'Imputed Data'!U99)/'Imputed Data'!U99</f>
        <v>8.8575096277278442E-2</v>
      </c>
      <c r="V111" s="7">
        <f>('Imputed Data'!V111-'Imputed Data'!V99)/'Imputed Data'!V99</f>
        <v>3.5669586983729587E-2</v>
      </c>
      <c r="W111" s="7">
        <f>('Imputed Data'!W111-'Imputed Data'!W99)/'Imputed Data'!W99</f>
        <v>8.7270341207348973E-2</v>
      </c>
      <c r="X111" s="7">
        <f>('Imputed Data'!X111-'Imputed Data'!X99)/'Imputed Data'!X99</f>
        <v>7.2233267064281015E-2</v>
      </c>
      <c r="Y111" s="7">
        <f>('Imputed Data'!Y111-'Imputed Data'!Y99)/'Imputed Data'!Y99</f>
        <v>6.7575945443273264E-2</v>
      </c>
      <c r="Z111" s="7">
        <f>('Imputed Data'!Z111-'Imputed Data'!Z99)/'Imputed Data'!Z99</f>
        <v>8.1323225361819518E-2</v>
      </c>
      <c r="AA111" s="7">
        <f>('Imputed Data'!AA111-'Imputed Data'!AA99)/'Imputed Data'!AA99</f>
        <v>6.9966996699669923E-2</v>
      </c>
      <c r="AB111" s="7">
        <f>('Imputed Data'!AB111-'Imputed Data'!AB99)/'Imputed Data'!AB99</f>
        <v>3.6990595611285301E-2</v>
      </c>
      <c r="AC111" s="7">
        <f>('Imputed Data'!AC111-'Imputed Data'!AC99)/'Imputed Data'!AC99</f>
        <v>5.519897304236196E-2</v>
      </c>
      <c r="AD111" s="7">
        <f>('Imputed Data'!AD111-'Imputed Data'!AD99)/'Imputed Data'!AD99</f>
        <v>6.5840938722294615E-2</v>
      </c>
      <c r="AE111" s="7">
        <f>('Imputed Data'!AE111-'Imputed Data'!AE99)/'Imputed Data'!AE99</f>
        <v>6.066411238825032E-2</v>
      </c>
    </row>
    <row r="112" spans="1:31" x14ac:dyDescent="0.25">
      <c r="A112" s="1">
        <f>'Imputed Data'!A112</f>
        <v>44621</v>
      </c>
      <c r="B112" s="1" t="str">
        <f>'Imputed Data'!B112</f>
        <v>Rural+Urban</v>
      </c>
      <c r="C112" s="2">
        <f>'Imputed Data'!C112</f>
        <v>2022</v>
      </c>
      <c r="D112" s="1" t="str">
        <f>'Imputed Data'!D112</f>
        <v>March</v>
      </c>
      <c r="E112" s="7">
        <f>('Imputed Data'!E112-'Imputed Data'!E100)/'Imputed Data'!E100</f>
        <v>4.9965301873698943E-2</v>
      </c>
      <c r="F112" s="7">
        <f>('Imputed Data'!F112-'Imputed Data'!F100)/'Imputed Data'!F100</f>
        <v>9.6253902185223728E-2</v>
      </c>
      <c r="G112" s="7">
        <f>('Imputed Data'!G112-'Imputed Data'!G100)/'Imputed Data'!G100</f>
        <v>2.442002442002442E-2</v>
      </c>
      <c r="H112" s="7">
        <f>('Imputed Data'!H112-'Imputed Data'!H100)/'Imputed Data'!H100</f>
        <v>4.7127178825048306E-2</v>
      </c>
      <c r="I112" s="7">
        <f>('Imputed Data'!I112-'Imputed Data'!I100)/'Imputed Data'!I100</f>
        <v>0.18730933496034161</v>
      </c>
      <c r="J112" s="7">
        <f>('Imputed Data'!J112-'Imputed Data'!J100)/'Imputed Data'!J100</f>
        <v>2.5374105400130163E-2</v>
      </c>
      <c r="K112" s="7">
        <f>('Imputed Data'!K112-'Imputed Data'!K100)/'Imputed Data'!K100</f>
        <v>0.11638795986622077</v>
      </c>
      <c r="L112" s="7">
        <f>('Imputed Data'!L112-'Imputed Data'!L100)/'Imputed Data'!L100</f>
        <v>2.5657071339173929E-2</v>
      </c>
      <c r="M112" s="7">
        <f>('Imputed Data'!M112-'Imputed Data'!M100)/'Imputed Data'!M100</f>
        <v>5.5062166962699853E-2</v>
      </c>
      <c r="N112" s="7">
        <f>('Imputed Data'!N112-'Imputed Data'!N100)/'Imputed Data'!N100</f>
        <v>8.5015290519877704E-2</v>
      </c>
      <c r="O112" s="7">
        <f>('Imputed Data'!O112-'Imputed Data'!O100)/'Imputed Data'!O100</f>
        <v>5.6230031948881862E-2</v>
      </c>
      <c r="P112" s="7">
        <f>('Imputed Data'!P112-'Imputed Data'!P100)/'Imputed Data'!P100</f>
        <v>6.5992865636147577E-2</v>
      </c>
      <c r="Q112" s="7">
        <f>('Imputed Data'!Q112-'Imputed Data'!Q100)/'Imputed Data'!Q100</f>
        <v>7.4664964901084985E-2</v>
      </c>
      <c r="R112" s="7">
        <f>('Imputed Data'!R112-'Imputed Data'!R100)/'Imputed Data'!R100</f>
        <v>2.9771398192450796E-2</v>
      </c>
      <c r="S112" s="7">
        <f>('Imputed Data'!S112-'Imputed Data'!S100)/'Imputed Data'!S100</f>
        <v>9.0621039290240693E-2</v>
      </c>
      <c r="T112" s="7">
        <f>('Imputed Data'!T112-'Imputed Data'!T100)/'Imputed Data'!T100</f>
        <v>0.11291413116970918</v>
      </c>
      <c r="U112" s="7">
        <f>('Imputed Data'!U112-'Imputed Data'!U100)/'Imputed Data'!U100</f>
        <v>9.3989769820971791E-2</v>
      </c>
      <c r="V112" s="7">
        <f>('Imputed Data'!V112-'Imputed Data'!V100)/'Imputed Data'!V100</f>
        <v>3.3771106941838686E-2</v>
      </c>
      <c r="W112" s="7">
        <f>('Imputed Data'!W112-'Imputed Data'!W100)/'Imputed Data'!W100</f>
        <v>7.5241157556270019E-2</v>
      </c>
      <c r="X112" s="7">
        <f>('Imputed Data'!X112-'Imputed Data'!X100)/'Imputed Data'!X100</f>
        <v>7.6719576719576882E-2</v>
      </c>
      <c r="Y112" s="7">
        <f>('Imputed Data'!Y112-'Imputed Data'!Y100)/'Imputed Data'!Y100</f>
        <v>6.9882498453927105E-2</v>
      </c>
      <c r="Z112" s="7">
        <f>('Imputed Data'!Z112-'Imputed Data'!Z100)/'Imputed Data'!Z100</f>
        <v>8.0027359781121868E-2</v>
      </c>
      <c r="AA112" s="7">
        <f>('Imputed Data'!AA112-'Imputed Data'!AA100)/'Imputed Data'!AA100</f>
        <v>7.0117955439056467E-2</v>
      </c>
      <c r="AB112" s="7">
        <f>('Imputed Data'!AB112-'Imputed Data'!AB100)/'Imputed Data'!AB100</f>
        <v>3.6204744069912684E-2</v>
      </c>
      <c r="AC112" s="7">
        <f>('Imputed Data'!AC112-'Imputed Data'!AC100)/'Imputed Data'!AC100</f>
        <v>8.7126137841352258E-2</v>
      </c>
      <c r="AD112" s="7">
        <f>('Imputed Data'!AD112-'Imputed Data'!AD100)/'Imputed Data'!AD100</f>
        <v>7.0221066319895858E-2</v>
      </c>
      <c r="AE112" s="7">
        <f>('Imputed Data'!AE112-'Imputed Data'!AE100)/'Imputed Data'!AE100</f>
        <v>6.9515306122448828E-2</v>
      </c>
    </row>
    <row r="113" spans="1:31" x14ac:dyDescent="0.25">
      <c r="A113" s="1">
        <f>'Imputed Data'!A113</f>
        <v>44652</v>
      </c>
      <c r="B113" s="1" t="str">
        <f>'Imputed Data'!B113</f>
        <v>Rural+Urban</v>
      </c>
      <c r="C113" s="2">
        <f>'Imputed Data'!C113</f>
        <v>2022</v>
      </c>
      <c r="D113" s="1" t="str">
        <f>'Imputed Data'!D113</f>
        <v>April</v>
      </c>
      <c r="E113" s="7">
        <f>('Imputed Data'!E113-'Imputed Data'!E101)/'Imputed Data'!E101</f>
        <v>5.9598059598059555E-2</v>
      </c>
      <c r="F113" s="7">
        <f>('Imputed Data'!F113-'Imputed Data'!F101)/'Imputed Data'!F101</f>
        <v>6.9696969696969757E-2</v>
      </c>
      <c r="G113" s="7">
        <f>('Imputed Data'!G113-'Imputed Data'!G101)/'Imputed Data'!G101</f>
        <v>-6.0753341433775405E-4</v>
      </c>
      <c r="H113" s="7">
        <f>('Imputed Data'!H113-'Imputed Data'!H101)/'Imputed Data'!H101</f>
        <v>5.4697554697554697E-2</v>
      </c>
      <c r="I113" s="7">
        <f>('Imputed Data'!I113-'Imputed Data'!I101)/'Imputed Data'!I101</f>
        <v>0.17283950617283955</v>
      </c>
      <c r="J113" s="7">
        <f>('Imputed Data'!J113-'Imputed Data'!J101)/'Imputed Data'!J101</f>
        <v>4.9878345498783387E-2</v>
      </c>
      <c r="K113" s="7">
        <f>('Imputed Data'!K113-'Imputed Data'!K101)/'Imputed Data'!K101</f>
        <v>0.15336571825121439</v>
      </c>
      <c r="L113" s="7">
        <f>('Imputed Data'!L113-'Imputed Data'!L101)/'Imputed Data'!L101</f>
        <v>1.8552875695732839E-2</v>
      </c>
      <c r="M113" s="7">
        <f>('Imputed Data'!M113-'Imputed Data'!M101)/'Imputed Data'!M101</f>
        <v>5.2166224580017739E-2</v>
      </c>
      <c r="N113" s="7">
        <f>('Imputed Data'!N113-'Imputed Data'!N101)/'Imputed Data'!N101</f>
        <v>0.1061622940817572</v>
      </c>
      <c r="O113" s="7">
        <f>('Imputed Data'!O113-'Imputed Data'!O101)/'Imputed Data'!O101</f>
        <v>5.4568527918781695E-2</v>
      </c>
      <c r="P113" s="7">
        <f>('Imputed Data'!P113-'Imputed Data'!P101)/'Imputed Data'!P101</f>
        <v>7.1047957371225573E-2</v>
      </c>
      <c r="Q113" s="7">
        <f>('Imputed Data'!Q113-'Imputed Data'!Q101)/'Imputed Data'!Q101</f>
        <v>8.1012658227848172E-2</v>
      </c>
      <c r="R113" s="7">
        <f>('Imputed Data'!R113-'Imputed Data'!R101)/'Imputed Data'!R101</f>
        <v>2.7012711864406749E-2</v>
      </c>
      <c r="S113" s="7">
        <f>('Imputed Data'!S113-'Imputed Data'!S101)/'Imputed Data'!S101</f>
        <v>9.5088161209067962E-2</v>
      </c>
      <c r="T113" s="7">
        <f>('Imputed Data'!T113-'Imputed Data'!T101)/'Imputed Data'!T101</f>
        <v>0.12121212121212122</v>
      </c>
      <c r="U113" s="7">
        <f>('Imputed Data'!U113-'Imputed Data'!U101)/'Imputed Data'!U101</f>
        <v>9.8537825810553079E-2</v>
      </c>
      <c r="V113" s="7">
        <f>('Imputed Data'!V113-'Imputed Data'!V101)/'Imputed Data'!V101</f>
        <v>3.4696406443618301E-2</v>
      </c>
      <c r="W113" s="7">
        <f>('Imputed Data'!W113-'Imputed Data'!W101)/'Imputed Data'!W101</f>
        <v>0.10668380462724933</v>
      </c>
      <c r="X113" s="7">
        <f>('Imputed Data'!X113-'Imputed Data'!X101)/'Imputed Data'!X101</f>
        <v>8.0368906455862893E-2</v>
      </c>
      <c r="Y113" s="7">
        <f>('Imputed Data'!Y113-'Imputed Data'!Y101)/'Imputed Data'!Y101</f>
        <v>7.2088724584103439E-2</v>
      </c>
      <c r="Z113" s="7">
        <f>('Imputed Data'!Z113-'Imputed Data'!Z101)/'Imputed Data'!Z101</f>
        <v>0.10914051841746249</v>
      </c>
      <c r="AA113" s="7">
        <f>('Imputed Data'!AA113-'Imputed Data'!AA101)/'Imputed Data'!AA101</f>
        <v>7.3107049608355207E-2</v>
      </c>
      <c r="AB113" s="7">
        <f>('Imputed Data'!AB113-'Imputed Data'!AB101)/'Imputed Data'!AB101</f>
        <v>4.1172800998128471E-2</v>
      </c>
      <c r="AC113" s="7">
        <f>('Imputed Data'!AC113-'Imputed Data'!AC101)/'Imputed Data'!AC101</f>
        <v>8.622908622908626E-2</v>
      </c>
      <c r="AD113" s="7">
        <f>('Imputed Data'!AD113-'Imputed Data'!AD101)/'Imputed Data'!AD101</f>
        <v>8.031088082901558E-2</v>
      </c>
      <c r="AE113" s="7">
        <f>('Imputed Data'!AE113-'Imputed Data'!AE101)/'Imputed Data'!AE101</f>
        <v>7.7946768060836391E-2</v>
      </c>
    </row>
    <row r="114" spans="1:31" x14ac:dyDescent="0.25">
      <c r="A114" s="1">
        <f>'Imputed Data'!A114</f>
        <v>44682</v>
      </c>
      <c r="B114" s="1" t="str">
        <f>'Imputed Data'!B114</f>
        <v>Rural+Urban</v>
      </c>
      <c r="C114" s="2">
        <f>'Imputed Data'!C114</f>
        <v>2022</v>
      </c>
      <c r="D114" s="1" t="str">
        <f>'Imputed Data'!D114</f>
        <v>May</v>
      </c>
      <c r="E114" s="7">
        <f>('Imputed Data'!E114-'Imputed Data'!E102)/'Imputed Data'!E102</f>
        <v>5.3315105946684774E-2</v>
      </c>
      <c r="F114" s="7">
        <f>('Imputed Data'!F114-'Imputed Data'!F102)/'Imputed Data'!F102</f>
        <v>8.2294264339152115E-2</v>
      </c>
      <c r="G114" s="7">
        <f>('Imputed Data'!G114-'Imputed Data'!G102)/'Imputed Data'!G102</f>
        <v>-4.6388725778038785E-2</v>
      </c>
      <c r="H114" s="7">
        <f>('Imputed Data'!H114-'Imputed Data'!H102)/'Imputed Data'!H102</f>
        <v>5.6374119154388287E-2</v>
      </c>
      <c r="I114" s="7">
        <f>('Imputed Data'!I114-'Imputed Data'!I102)/'Imputed Data'!I102</f>
        <v>0.13262451035254627</v>
      </c>
      <c r="J114" s="7">
        <f>('Imputed Data'!J114-'Imputed Data'!J102)/'Imputed Data'!J102</f>
        <v>2.3339317773788185E-2</v>
      </c>
      <c r="K114" s="7">
        <f>('Imputed Data'!K114-'Imputed Data'!K102)/'Imputed Data'!K102</f>
        <v>0.18255578093306288</v>
      </c>
      <c r="L114" s="7">
        <f>('Imputed Data'!L114-'Imputed Data'!L102)/'Imputed Data'!L102</f>
        <v>-4.2321644498187249E-3</v>
      </c>
      <c r="M114" s="7">
        <f>('Imputed Data'!M114-'Imputed Data'!M102)/'Imputed Data'!M102</f>
        <v>4.2682926829268344E-2</v>
      </c>
      <c r="N114" s="7">
        <f>('Imputed Data'!N114-'Imputed Data'!N102)/'Imputed Data'!N102</f>
        <v>9.9286563614744458E-2</v>
      </c>
      <c r="O114" s="7">
        <f>('Imputed Data'!O114-'Imputed Data'!O102)/'Imputed Data'!O102</f>
        <v>4.8964218455743766E-2</v>
      </c>
      <c r="P114" s="7">
        <f>('Imputed Data'!P114-'Imputed Data'!P102)/'Imputed Data'!P102</f>
        <v>7.1009389671361473E-2</v>
      </c>
      <c r="Q114" s="7">
        <f>('Imputed Data'!Q114-'Imputed Data'!Q102)/'Imputed Data'!Q102</f>
        <v>7.8406969508400898E-2</v>
      </c>
      <c r="R114" s="7">
        <f>('Imputed Data'!R114-'Imputed Data'!R102)/'Imputed Data'!R102</f>
        <v>1.1464304325169299E-2</v>
      </c>
      <c r="S114" s="7">
        <f>('Imputed Data'!S114-'Imputed Data'!S102)/'Imputed Data'!S102</f>
        <v>8.5290482076637711E-2</v>
      </c>
      <c r="T114" s="7">
        <f>('Imputed Data'!T114-'Imputed Data'!T102)/'Imputed Data'!T102</f>
        <v>0.10716633793556879</v>
      </c>
      <c r="U114" s="7">
        <f>('Imputed Data'!U114-'Imputed Data'!U102)/'Imputed Data'!U102</f>
        <v>8.8528678304239328E-2</v>
      </c>
      <c r="V114" s="7">
        <f>('Imputed Data'!V114-'Imputed Data'!V102)/'Imputed Data'!V102</f>
        <v>3.6509900990099049E-2</v>
      </c>
      <c r="W114" s="7">
        <f>('Imputed Data'!W114-'Imputed Data'!W102)/'Imputed Data'!W102</f>
        <v>9.5357590966122882E-2</v>
      </c>
      <c r="X114" s="7">
        <f>('Imputed Data'!X114-'Imputed Data'!X102)/'Imputed Data'!X102</f>
        <v>6.7873303167420823E-2</v>
      </c>
      <c r="Y114" s="7">
        <f>('Imputed Data'!Y114-'Imputed Data'!Y102)/'Imputed Data'!Y102</f>
        <v>5.4282267792521106E-2</v>
      </c>
      <c r="Z114" s="7">
        <f>('Imputed Data'!Z114-'Imputed Data'!Z102)/'Imputed Data'!Z102</f>
        <v>9.4694425789120171E-2</v>
      </c>
      <c r="AA114" s="7">
        <f>('Imputed Data'!AA114-'Imputed Data'!AA102)/'Imputed Data'!AA102</f>
        <v>5.9691912708600657E-2</v>
      </c>
      <c r="AB114" s="7">
        <f>('Imputed Data'!AB114-'Imputed Data'!AB102)/'Imputed Data'!AB102</f>
        <v>4.1563275434243284E-2</v>
      </c>
      <c r="AC114" s="7">
        <f>('Imputed Data'!AC114-'Imputed Data'!AC102)/'Imputed Data'!AC102</f>
        <v>6.1790668348045474E-2</v>
      </c>
      <c r="AD114" s="7">
        <f>('Imputed Data'!AD114-'Imputed Data'!AD102)/'Imputed Data'!AD102</f>
        <v>6.8239795918367263E-2</v>
      </c>
      <c r="AE114" s="7">
        <f>('Imputed Data'!AE114-'Imputed Data'!AE102)/'Imputed Data'!AE102</f>
        <v>7.0448877805486171E-2</v>
      </c>
    </row>
    <row r="115" spans="1:31" x14ac:dyDescent="0.25">
      <c r="A115" s="1">
        <f>'Imputed Data'!A115</f>
        <v>44713</v>
      </c>
      <c r="B115" s="1" t="str">
        <f>'Imputed Data'!B115</f>
        <v>Rural+Urban</v>
      </c>
      <c r="C115" s="2">
        <f>'Imputed Data'!C115</f>
        <v>2022</v>
      </c>
      <c r="D115" s="1" t="str">
        <f>'Imputed Data'!D115</f>
        <v>June</v>
      </c>
      <c r="E115" s="7">
        <f>('Imputed Data'!E115-'Imputed Data'!E103)/'Imputed Data'!E103</f>
        <v>5.6578050443081201E-2</v>
      </c>
      <c r="F115" s="7">
        <f>('Imputed Data'!F115-'Imputed Data'!F103)/'Imputed Data'!F103</f>
        <v>8.6138613861386173E-2</v>
      </c>
      <c r="G115" s="7">
        <f>('Imputed Data'!G115-'Imputed Data'!G103)/'Imputed Data'!G103</f>
        <v>-5.4786939679025891E-2</v>
      </c>
      <c r="H115" s="7">
        <f>('Imputed Data'!H115-'Imputed Data'!H103)/'Imputed Data'!H103</f>
        <v>6.1459667093470061E-2</v>
      </c>
      <c r="I115" s="7">
        <f>('Imputed Data'!I115-'Imputed Data'!I103)/'Imputed Data'!I103</f>
        <v>9.3630919978225466E-2</v>
      </c>
      <c r="J115" s="7">
        <f>('Imputed Data'!J115-'Imputed Data'!J103)/'Imputed Data'!J103</f>
        <v>3.0984204131227183E-2</v>
      </c>
      <c r="K115" s="7">
        <f>('Imputed Data'!K115-'Imputed Data'!K103)/'Imputed Data'!K103</f>
        <v>0.17310167310167313</v>
      </c>
      <c r="L115" s="7">
        <f>('Imputed Data'!L115-'Imputed Data'!L103)/'Imputed Data'!L103</f>
        <v>-1.0240963855421618E-2</v>
      </c>
      <c r="M115" s="7">
        <f>('Imputed Data'!M115-'Imputed Data'!M103)/'Imputed Data'!M103</f>
        <v>4.1702867072111308E-2</v>
      </c>
      <c r="N115" s="7">
        <f>('Imputed Data'!N115-'Imputed Data'!N103)/'Imputed Data'!N103</f>
        <v>0.11038575667655783</v>
      </c>
      <c r="O115" s="7">
        <f>('Imputed Data'!O115-'Imputed Data'!O103)/'Imputed Data'!O103</f>
        <v>4.9375000000000037E-2</v>
      </c>
      <c r="P115" s="7">
        <f>('Imputed Data'!P115-'Imputed Data'!P103)/'Imputed Data'!P103</f>
        <v>6.6705336426914147E-2</v>
      </c>
      <c r="Q115" s="7">
        <f>('Imputed Data'!Q115-'Imputed Data'!Q103)/'Imputed Data'!Q103</f>
        <v>7.5645756457564647E-2</v>
      </c>
      <c r="R115" s="7">
        <f>('Imputed Data'!R115-'Imputed Data'!R103)/'Imputed Data'!R103</f>
        <v>1.8343815513626835E-2</v>
      </c>
      <c r="S115" s="7">
        <f>('Imputed Data'!S115-'Imputed Data'!S103)/'Imputed Data'!S103</f>
        <v>9.1861898890258975E-2</v>
      </c>
      <c r="T115" s="7">
        <f>('Imputed Data'!T115-'Imputed Data'!T103)/'Imputed Data'!T103</f>
        <v>0.11923583662714093</v>
      </c>
      <c r="U115" s="7">
        <f>('Imputed Data'!U115-'Imputed Data'!U103)/'Imputed Data'!U103</f>
        <v>9.5208462974486693E-2</v>
      </c>
      <c r="V115" s="7">
        <f>('Imputed Data'!V115-'Imputed Data'!V103)/'Imputed Data'!V103</f>
        <v>3.9252336448598199E-2</v>
      </c>
      <c r="W115" s="7">
        <f>('Imputed Data'!W115-'Imputed Data'!W103)/'Imputed Data'!W103</f>
        <v>0.10137672090112633</v>
      </c>
      <c r="X115" s="7">
        <f>('Imputed Data'!X115-'Imputed Data'!X103)/'Imputed Data'!X103</f>
        <v>7.4935400516795828E-2</v>
      </c>
      <c r="Y115" s="7">
        <f>('Imputed Data'!Y115-'Imputed Data'!Y103)/'Imputed Data'!Y103</f>
        <v>5.4720384846662619E-2</v>
      </c>
      <c r="Z115" s="7">
        <f>('Imputed Data'!Z115-'Imputed Data'!Z103)/'Imputed Data'!Z103</f>
        <v>6.901128069011285E-2</v>
      </c>
      <c r="AA115" s="7">
        <f>('Imputed Data'!AA115-'Imputed Data'!AA103)/'Imputed Data'!AA103</f>
        <v>7.0367979341510692E-2</v>
      </c>
      <c r="AB115" s="7">
        <f>('Imputed Data'!AB115-'Imputed Data'!AB103)/'Imputed Data'!AB103</f>
        <v>4.5145330859616646E-2</v>
      </c>
      <c r="AC115" s="7">
        <f>('Imputed Data'!AC115-'Imputed Data'!AC103)/'Imputed Data'!AC103</f>
        <v>6.6750629722921867E-2</v>
      </c>
      <c r="AD115" s="7">
        <f>('Imputed Data'!AD115-'Imputed Data'!AD103)/'Imputed Data'!AD103</f>
        <v>6.2817258883248767E-2</v>
      </c>
      <c r="AE115" s="7">
        <f>('Imputed Data'!AE115-'Imputed Data'!AE103)/'Imputed Data'!AE103</f>
        <v>7.0055796652200755E-2</v>
      </c>
    </row>
    <row r="116" spans="1:31" x14ac:dyDescent="0.25">
      <c r="A116" s="1">
        <f>'Imputed Data'!A116</f>
        <v>44743</v>
      </c>
      <c r="B116" s="1" t="str">
        <f>'Imputed Data'!B116</f>
        <v>Rural+Urban</v>
      </c>
      <c r="C116" s="2">
        <f>'Imputed Data'!C116</f>
        <v>2022</v>
      </c>
      <c r="D116" s="1" t="str">
        <f>'Imputed Data'!D116</f>
        <v>July</v>
      </c>
      <c r="E116" s="7">
        <f>('Imputed Data'!E116-'Imputed Data'!E104)/'Imputed Data'!E104</f>
        <v>6.8989071038251318E-2</v>
      </c>
      <c r="F116" s="7">
        <f>('Imputed Data'!F116-'Imputed Data'!F104)/'Imputed Data'!F104</f>
        <v>2.9980657640232052E-2</v>
      </c>
      <c r="G116" s="7">
        <f>('Imputed Data'!G116-'Imputed Data'!G104)/'Imputed Data'!G104</f>
        <v>-3.8419319429198684E-2</v>
      </c>
      <c r="H116" s="7">
        <f>('Imputed Data'!H116-'Imputed Data'!H104)/'Imputed Data'!H104</f>
        <v>5.777777777777774E-2</v>
      </c>
      <c r="I116" s="7">
        <f>('Imputed Data'!I116-'Imputed Data'!I104)/'Imputed Data'!I104</f>
        <v>7.5233388248215363E-2</v>
      </c>
      <c r="J116" s="7">
        <f>('Imputed Data'!J116-'Imputed Data'!J104)/'Imputed Data'!J104</f>
        <v>6.2843197071384888E-2</v>
      </c>
      <c r="K116" s="7">
        <f>('Imputed Data'!K116-'Imputed Data'!K104)/'Imputed Data'!K104</f>
        <v>0.10901339829476253</v>
      </c>
      <c r="L116" s="7">
        <f>('Imputed Data'!L116-'Imputed Data'!L104)/'Imputed Data'!L104</f>
        <v>1.8292682926829961E-3</v>
      </c>
      <c r="M116" s="7">
        <f>('Imputed Data'!M116-'Imputed Data'!M104)/'Imputed Data'!M104</f>
        <v>4.8034934497816595E-2</v>
      </c>
      <c r="N116" s="7">
        <f>('Imputed Data'!N116-'Imputed Data'!N104)/'Imputed Data'!N104</f>
        <v>0.12893642305407005</v>
      </c>
      <c r="O116" s="7">
        <f>('Imputed Data'!O116-'Imputed Data'!O104)/'Imputed Data'!O104</f>
        <v>4.661280298321939E-2</v>
      </c>
      <c r="P116" s="7">
        <f>('Imputed Data'!P116-'Imputed Data'!P104)/'Imputed Data'!P104</f>
        <v>7.5493612078977937E-2</v>
      </c>
      <c r="Q116" s="7">
        <f>('Imputed Data'!Q116-'Imputed Data'!Q104)/'Imputed Data'!Q104</f>
        <v>6.7073170731707321E-2</v>
      </c>
      <c r="R116" s="7">
        <f>('Imputed Data'!R116-'Imputed Data'!R104)/'Imputed Data'!R104</f>
        <v>1.778242677824271E-2</v>
      </c>
      <c r="S116" s="7">
        <f>('Imputed Data'!S116-'Imputed Data'!S104)/'Imputed Data'!S104</f>
        <v>9.5208845208845205E-2</v>
      </c>
      <c r="T116" s="7">
        <f>('Imputed Data'!T116-'Imputed Data'!T104)/'Imputed Data'!T104</f>
        <v>0.11887655127367745</v>
      </c>
      <c r="U116" s="7">
        <f>('Imputed Data'!U116-'Imputed Data'!U104)/'Imputed Data'!U104</f>
        <v>9.8513011152416383E-2</v>
      </c>
      <c r="V116" s="7">
        <f>('Imputed Data'!V116-'Imputed Data'!V104)/'Imputed Data'!V104</f>
        <v>3.9009287925696662E-2</v>
      </c>
      <c r="W116" s="7">
        <f>('Imputed Data'!W116-'Imputed Data'!W104)/'Imputed Data'!W104</f>
        <v>0.11761045426260117</v>
      </c>
      <c r="X116" s="7">
        <f>('Imputed Data'!X116-'Imputed Data'!X104)/'Imputed Data'!X104</f>
        <v>7.4454428754813826E-2</v>
      </c>
      <c r="Y116" s="7">
        <f>('Imputed Data'!Y116-'Imputed Data'!Y104)/'Imputed Data'!Y104</f>
        <v>5.4491017964071825E-2</v>
      </c>
      <c r="Z116" s="7">
        <f>('Imputed Data'!Z116-'Imputed Data'!Z104)/'Imputed Data'!Z104</f>
        <v>5.5519268451992163E-2</v>
      </c>
      <c r="AA116" s="7">
        <f>('Imputed Data'!AA116-'Imputed Data'!AA104)/'Imputed Data'!AA104</f>
        <v>7.0830650354153243E-2</v>
      </c>
      <c r="AB116" s="7">
        <f>('Imputed Data'!AB116-'Imputed Data'!AB104)/'Imputed Data'!AB104</f>
        <v>5.0245098039215792E-2</v>
      </c>
      <c r="AC116" s="7">
        <f>('Imputed Data'!AC116-'Imputed Data'!AC104)/'Imputed Data'!AC104</f>
        <v>5.9962523422860681E-2</v>
      </c>
      <c r="AD116" s="7">
        <f>('Imputed Data'!AD116-'Imputed Data'!AD104)/'Imputed Data'!AD104</f>
        <v>5.9119496855345947E-2</v>
      </c>
      <c r="AE116" s="7">
        <f>('Imputed Data'!AE116-'Imputed Data'!AE104)/'Imputed Data'!AE104</f>
        <v>6.7076923076923117E-2</v>
      </c>
    </row>
    <row r="117" spans="1:31" x14ac:dyDescent="0.25">
      <c r="A117" s="1">
        <f>'Imputed Data'!A117</f>
        <v>44774</v>
      </c>
      <c r="B117" s="1" t="str">
        <f>'Imputed Data'!B117</f>
        <v>Rural+Urban</v>
      </c>
      <c r="C117" s="2">
        <f>'Imputed Data'!C117</f>
        <v>2022</v>
      </c>
      <c r="D117" s="1" t="str">
        <f>'Imputed Data'!D117</f>
        <v>August</v>
      </c>
      <c r="E117" s="7">
        <f>('Imputed Data'!E117-'Imputed Data'!E105)/'Imputed Data'!E105</f>
        <v>9.3451568894952375E-2</v>
      </c>
      <c r="F117" s="7">
        <f>('Imputed Data'!F117-'Imputed Data'!F105)/'Imputed Data'!F105</f>
        <v>1.2254901960784314E-2</v>
      </c>
      <c r="G117" s="7">
        <f>('Imputed Data'!G117-'Imputed Data'!G105)/'Imputed Data'!G105</f>
        <v>-2.0833333333333464E-2</v>
      </c>
      <c r="H117" s="7">
        <f>('Imputed Data'!H117-'Imputed Data'!H105)/'Imputed Data'!H105</f>
        <v>6.1237373737373667E-2</v>
      </c>
      <c r="I117" s="7">
        <f>('Imputed Data'!I117-'Imputed Data'!I105)/'Imputed Data'!I105</f>
        <v>2.3404255319148966E-2</v>
      </c>
      <c r="J117" s="7">
        <f>('Imputed Data'!J117-'Imputed Data'!J105)/'Imputed Data'!J105</f>
        <v>0.10267857142857138</v>
      </c>
      <c r="K117" s="7">
        <f>('Imputed Data'!K117-'Imputed Data'!K105)/'Imputed Data'!K105</f>
        <v>0.15104808877928486</v>
      </c>
      <c r="L117" s="7">
        <f>('Imputed Data'!L117-'Imputed Data'!L105)/'Imputed Data'!L105</f>
        <v>1.8890920170627632E-2</v>
      </c>
      <c r="M117" s="7">
        <f>('Imputed Data'!M117-'Imputed Data'!M105)/'Imputed Data'!M105</f>
        <v>1.0025062656641628E-2</v>
      </c>
      <c r="N117" s="7">
        <f>('Imputed Data'!N117-'Imputed Data'!N105)/'Imputed Data'!N105</f>
        <v>0.14691943127962073</v>
      </c>
      <c r="O117" s="7">
        <f>('Imputed Data'!O117-'Imputed Data'!O105)/'Imputed Data'!O105</f>
        <v>3.749231714812553E-2</v>
      </c>
      <c r="P117" s="7">
        <f>('Imputed Data'!P117-'Imputed Data'!P105)/'Imputed Data'!P105</f>
        <v>7.1305347901092608E-2</v>
      </c>
      <c r="Q117" s="7">
        <f>('Imputed Data'!Q117-'Imputed Data'!Q105)/'Imputed Data'!Q105</f>
        <v>7.5000000000000067E-2</v>
      </c>
      <c r="R117" s="7">
        <f>('Imputed Data'!R117-'Imputed Data'!R105)/'Imputed Data'!R105</f>
        <v>1.5096304008329025E-2</v>
      </c>
      <c r="S117" s="7">
        <f>('Imputed Data'!S117-'Imputed Data'!S105)/'Imputed Data'!S105</f>
        <v>9.1185410334346503E-2</v>
      </c>
      <c r="T117" s="7">
        <f>('Imputed Data'!T117-'Imputed Data'!T105)/'Imputed Data'!T105</f>
        <v>0.1120412105602059</v>
      </c>
      <c r="U117" s="7">
        <f>('Imputed Data'!U117-'Imputed Data'!U105)/'Imputed Data'!U105</f>
        <v>9.3750000000000069E-2</v>
      </c>
      <c r="V117" s="7">
        <f>('Imputed Data'!V117-'Imputed Data'!V105)/'Imputed Data'!V105</f>
        <v>4.256631708821719E-2</v>
      </c>
      <c r="W117" s="7">
        <f>('Imputed Data'!W117-'Imputed Data'!W105)/'Imputed Data'!W105</f>
        <v>9.9630996309963207E-2</v>
      </c>
      <c r="X117" s="7">
        <f>('Imputed Data'!X117-'Imputed Data'!X105)/'Imputed Data'!X105</f>
        <v>6.9841269841269843E-2</v>
      </c>
      <c r="Y117" s="7">
        <f>('Imputed Data'!Y117-'Imputed Data'!Y105)/'Imputed Data'!Y105</f>
        <v>4.9881235154394334E-2</v>
      </c>
      <c r="Z117" s="7">
        <f>('Imputed Data'!Z117-'Imputed Data'!Z105)/'Imputed Data'!Z105</f>
        <v>5.1298701298701337E-2</v>
      </c>
      <c r="AA117" s="7">
        <f>('Imputed Data'!AA117-'Imputed Data'!AA105)/'Imputed Data'!AA105</f>
        <v>5.9010152284264032E-2</v>
      </c>
      <c r="AB117" s="7">
        <f>('Imputed Data'!AB117-'Imputed Data'!AB105)/'Imputed Data'!AB105</f>
        <v>5.1892551892551889E-2</v>
      </c>
      <c r="AC117" s="7">
        <f>('Imputed Data'!AC117-'Imputed Data'!AC105)/'Imputed Data'!AC105</f>
        <v>6.9999999999999923E-2</v>
      </c>
      <c r="AD117" s="7">
        <f>('Imputed Data'!AD117-'Imputed Data'!AD105)/'Imputed Data'!AD105</f>
        <v>5.6874999999999967E-2</v>
      </c>
      <c r="AE117" s="7">
        <f>('Imputed Data'!AE117-'Imputed Data'!AE105)/'Imputed Data'!AE105</f>
        <v>6.8014705882353088E-2</v>
      </c>
    </row>
    <row r="118" spans="1:31" x14ac:dyDescent="0.25">
      <c r="A118" s="1">
        <f>'Imputed Data'!A118</f>
        <v>44805</v>
      </c>
      <c r="B118" s="1" t="str">
        <f>'Imputed Data'!B118</f>
        <v>Rural+Urban</v>
      </c>
      <c r="C118" s="2">
        <f>'Imputed Data'!C118</f>
        <v>2022</v>
      </c>
      <c r="D118" s="1" t="str">
        <f>'Imputed Data'!D118</f>
        <v>September</v>
      </c>
      <c r="E118" s="7">
        <f>('Imputed Data'!E118-'Imputed Data'!E106)/'Imputed Data'!E106</f>
        <v>0.11527967257844479</v>
      </c>
      <c r="F118" s="7">
        <f>('Imputed Data'!F118-'Imputed Data'!F106)/'Imputed Data'!F106</f>
        <v>2.5490196078431317E-2</v>
      </c>
      <c r="G118" s="7">
        <f>('Imputed Data'!G118-'Imputed Data'!G106)/'Imputed Data'!G106</f>
        <v>-1.7939814814814947E-2</v>
      </c>
      <c r="H118" s="7">
        <f>('Imputed Data'!H118-'Imputed Data'!H106)/'Imputed Data'!H106</f>
        <v>7.1338383838383729E-2</v>
      </c>
      <c r="I118" s="7">
        <f>('Imputed Data'!I118-'Imputed Data'!I106)/'Imputed Data'!I106</f>
        <v>3.7234042553190884E-3</v>
      </c>
      <c r="J118" s="7">
        <f>('Imputed Data'!J118-'Imputed Data'!J106)/'Imputed Data'!J106</f>
        <v>5.743458838544991E-2</v>
      </c>
      <c r="K118" s="7">
        <f>('Imputed Data'!K118-'Imputed Data'!K106)/'Imputed Data'!K106</f>
        <v>0.18176216882316695</v>
      </c>
      <c r="L118" s="7">
        <f>('Imputed Data'!L118-'Imputed Data'!L106)/'Imputed Data'!L106</f>
        <v>3.0469226081657527E-2</v>
      </c>
      <c r="M118" s="7">
        <f>('Imputed Data'!M118-'Imputed Data'!M106)/'Imputed Data'!M106</f>
        <v>1.5873015873015803E-2</v>
      </c>
      <c r="N118" s="7">
        <f>('Imputed Data'!N118-'Imputed Data'!N106)/'Imputed Data'!N106</f>
        <v>0.16883886255924169</v>
      </c>
      <c r="O118" s="7">
        <f>('Imputed Data'!O118-'Imputed Data'!O106)/'Imputed Data'!O106</f>
        <v>4.11800860479411E-2</v>
      </c>
      <c r="P118" s="7">
        <f>('Imputed Data'!P118-'Imputed Data'!P106)/'Imputed Data'!P106</f>
        <v>7.763082231167337E-2</v>
      </c>
      <c r="Q118" s="7">
        <f>('Imputed Data'!Q118-'Imputed Data'!Q106)/'Imputed Data'!Q106</f>
        <v>8.4146341463414709E-2</v>
      </c>
      <c r="R118" s="7">
        <f>('Imputed Data'!R118-'Imputed Data'!R106)/'Imputed Data'!R106</f>
        <v>1.978136387298288E-2</v>
      </c>
      <c r="S118" s="7">
        <f>('Imputed Data'!S118-'Imputed Data'!S106)/'Imputed Data'!S106</f>
        <v>9.9027946537059611E-2</v>
      </c>
      <c r="T118" s="7">
        <f>('Imputed Data'!T118-'Imputed Data'!T106)/'Imputed Data'!T106</f>
        <v>0.12234385061171925</v>
      </c>
      <c r="U118" s="7">
        <f>('Imputed Data'!U118-'Imputed Data'!U106)/'Imputed Data'!U106</f>
        <v>0.10165339865278625</v>
      </c>
      <c r="V118" s="7">
        <f>('Imputed Data'!V118-'Imputed Data'!V106)/'Imputed Data'!V106</f>
        <v>4.5650832819247415E-2</v>
      </c>
      <c r="W118" s="7">
        <f>('Imputed Data'!W118-'Imputed Data'!W106)/'Imputed Data'!W106</f>
        <v>0.10393603936039364</v>
      </c>
      <c r="X118" s="7">
        <f>('Imputed Data'!X118-'Imputed Data'!X106)/'Imputed Data'!X106</f>
        <v>7.6190476190476197E-2</v>
      </c>
      <c r="Y118" s="7">
        <f>('Imputed Data'!Y118-'Imputed Data'!Y106)/'Imputed Data'!Y106</f>
        <v>5.5819477434679368E-2</v>
      </c>
      <c r="Z118" s="7">
        <f>('Imputed Data'!Z118-'Imputed Data'!Z106)/'Imputed Data'!Z106</f>
        <v>5.389610389610397E-2</v>
      </c>
      <c r="AA118" s="7">
        <f>('Imputed Data'!AA118-'Imputed Data'!AA106)/'Imputed Data'!AA106</f>
        <v>6.2777425491439484E-2</v>
      </c>
      <c r="AB118" s="7">
        <f>('Imputed Data'!AB118-'Imputed Data'!AB106)/'Imputed Data'!AB106</f>
        <v>5.7422113622480182E-2</v>
      </c>
      <c r="AC118" s="7">
        <f>('Imputed Data'!AC118-'Imputed Data'!AC106)/'Imputed Data'!AC106</f>
        <v>6.8125000000000033E-2</v>
      </c>
      <c r="AD118" s="7">
        <f>('Imputed Data'!AD118-'Imputed Data'!AD106)/'Imputed Data'!AD106</f>
        <v>6.0624999999999929E-2</v>
      </c>
      <c r="AE118" s="7">
        <f>('Imputed Data'!AE118-'Imputed Data'!AE106)/'Imputed Data'!AE106</f>
        <v>7.4142156862745237E-2</v>
      </c>
    </row>
    <row r="119" spans="1:31" x14ac:dyDescent="0.25">
      <c r="A119" s="1">
        <f>'Imputed Data'!A119</f>
        <v>44835</v>
      </c>
      <c r="B119" s="1" t="str">
        <f>'Imputed Data'!B119</f>
        <v>Rural+Urban</v>
      </c>
      <c r="C119" s="2">
        <f>'Imputed Data'!C119</f>
        <v>2022</v>
      </c>
      <c r="D119" s="1" t="str">
        <f>'Imputed Data'!D119</f>
        <v>October</v>
      </c>
      <c r="E119" s="7">
        <f>('Imputed Data'!E119-'Imputed Data'!E107)/'Imputed Data'!E107</f>
        <v>0.12075983717774751</v>
      </c>
      <c r="F119" s="7">
        <f>('Imputed Data'!F119-'Imputed Data'!F107)/'Imputed Data'!F107</f>
        <v>3.0791788856305041E-2</v>
      </c>
      <c r="G119" s="7">
        <f>('Imputed Data'!G119-'Imputed Data'!G107)/'Imputed Data'!G107</f>
        <v>-1.7523364485980313E-3</v>
      </c>
      <c r="H119" s="7">
        <f>('Imputed Data'!H119-'Imputed Data'!H107)/'Imputed Data'!H107</f>
        <v>7.6874606175173402E-2</v>
      </c>
      <c r="I119" s="7">
        <f>('Imputed Data'!I119-'Imputed Data'!I107)/'Imputed Data'!I107</f>
        <v>-2.1511017838405009E-2</v>
      </c>
      <c r="J119" s="7">
        <f>('Imputed Data'!J119-'Imputed Data'!J107)/'Imputed Data'!J107</f>
        <v>5.2023121387283384E-2</v>
      </c>
      <c r="K119" s="7">
        <f>('Imputed Data'!K119-'Imputed Data'!K107)/'Imputed Data'!K107</f>
        <v>7.7711818672422966E-2</v>
      </c>
      <c r="L119" s="7">
        <f>('Imputed Data'!L119-'Imputed Data'!L107)/'Imputed Data'!L107</f>
        <v>2.7845036319612729E-2</v>
      </c>
      <c r="M119" s="7">
        <f>('Imputed Data'!M119-'Imputed Data'!M107)/'Imputed Data'!M107</f>
        <v>0</v>
      </c>
      <c r="N119" s="7">
        <f>('Imputed Data'!N119-'Imputed Data'!N107)/'Imputed Data'!N107</f>
        <v>0.18074424099232128</v>
      </c>
      <c r="O119" s="7">
        <f>('Imputed Data'!O119-'Imputed Data'!O107)/'Imputed Data'!O107</f>
        <v>4.1053921568627555E-2</v>
      </c>
      <c r="P119" s="7">
        <f>('Imputed Data'!P119-'Imputed Data'!P107)/'Imputed Data'!P107</f>
        <v>7.7847738981110609E-2</v>
      </c>
      <c r="Q119" s="7">
        <f>('Imputed Data'!Q119-'Imputed Data'!Q107)/'Imputed Data'!Q107</f>
        <v>7.0960047704233795E-2</v>
      </c>
      <c r="R119" s="7">
        <f>('Imputed Data'!R119-'Imputed Data'!R107)/'Imputed Data'!R107</f>
        <v>1.8681888946549159E-2</v>
      </c>
      <c r="S119" s="7">
        <f>('Imputed Data'!S119-'Imputed Data'!S107)/'Imputed Data'!S107</f>
        <v>9.7767048883524554E-2</v>
      </c>
      <c r="T119" s="7">
        <f>('Imputed Data'!T119-'Imputed Data'!T107)/'Imputed Data'!T107</f>
        <v>0.12156110044785667</v>
      </c>
      <c r="U119" s="7">
        <f>('Imputed Data'!U119-'Imputed Data'!U107)/'Imputed Data'!U107</f>
        <v>0.10164333536214235</v>
      </c>
      <c r="V119" s="7">
        <f>('Imputed Data'!V119-'Imputed Data'!V107)/'Imputed Data'!V107</f>
        <v>4.6454767726161333E-2</v>
      </c>
      <c r="W119" s="7">
        <f>('Imputed Data'!W119-'Imputed Data'!W107)/'Imputed Data'!W107</f>
        <v>9.9269183922046367E-2</v>
      </c>
      <c r="X119" s="7">
        <f>('Imputed Data'!X119-'Imputed Data'!X107)/'Imputed Data'!X107</f>
        <v>7.575757575757576E-2</v>
      </c>
      <c r="Y119" s="7">
        <f>('Imputed Data'!Y119-'Imputed Data'!Y107)/'Imputed Data'!Y107</f>
        <v>5.6771141336487252E-2</v>
      </c>
      <c r="Z119" s="7">
        <f>('Imputed Data'!Z119-'Imputed Data'!Z107)/'Imputed Data'!Z107</f>
        <v>4.6242774566474104E-2</v>
      </c>
      <c r="AA119" s="7">
        <f>('Imputed Data'!AA119-'Imputed Data'!AA107)/'Imputed Data'!AA107</f>
        <v>6.0529634300126069E-2</v>
      </c>
      <c r="AB119" s="7">
        <f>('Imputed Data'!AB119-'Imputed Data'!AB107)/'Imputed Data'!AB107</f>
        <v>5.7962172056131786E-2</v>
      </c>
      <c r="AC119" s="7">
        <f>('Imputed Data'!AC119-'Imputed Data'!AC107)/'Imputed Data'!AC107</f>
        <v>7.0273631840795908E-2</v>
      </c>
      <c r="AD119" s="7">
        <f>('Imputed Data'!AD119-'Imputed Data'!AD107)/'Imputed Data'!AD107</f>
        <v>5.9006211180124224E-2</v>
      </c>
      <c r="AE119" s="7">
        <f>('Imputed Data'!AE119-'Imputed Data'!AE107)/'Imputed Data'!AE107</f>
        <v>6.7673716012084523E-2</v>
      </c>
    </row>
    <row r="120" spans="1:31" x14ac:dyDescent="0.25">
      <c r="A120" s="1">
        <f>'Imputed Data'!A120</f>
        <v>44866</v>
      </c>
      <c r="B120" s="1" t="str">
        <f>'Imputed Data'!B120</f>
        <v>Rural+Urban</v>
      </c>
      <c r="C120" s="2">
        <f>'Imputed Data'!C120</f>
        <v>2022</v>
      </c>
      <c r="D120" s="1" t="str">
        <f>'Imputed Data'!D120</f>
        <v>November</v>
      </c>
      <c r="E120" s="7">
        <f>('Imputed Data'!E120-'Imputed Data'!E108)/'Imputed Data'!E108</f>
        <v>0.12955465587044546</v>
      </c>
      <c r="F120" s="7">
        <f>('Imputed Data'!F120-'Imputed Data'!F108)/'Imputed Data'!F108</f>
        <v>3.8690476190476247E-2</v>
      </c>
      <c r="G120" s="7">
        <f>('Imputed Data'!G120-'Imputed Data'!G108)/'Imputed Data'!G108</f>
        <v>4.8554913294797719E-2</v>
      </c>
      <c r="H120" s="7">
        <f>('Imputed Data'!H120-'Imputed Data'!H108)/'Imputed Data'!H108</f>
        <v>8.1607030759573124E-2</v>
      </c>
      <c r="I120" s="7">
        <f>('Imputed Data'!I120-'Imputed Data'!I108)/'Imputed Data'!I108</f>
        <v>-6.3124671225670099E-3</v>
      </c>
      <c r="J120" s="7">
        <f>('Imputed Data'!J120-'Imputed Data'!J108)/'Imputed Data'!J108</f>
        <v>2.6837060702875327E-2</v>
      </c>
      <c r="K120" s="7">
        <f>('Imputed Data'!K120-'Imputed Data'!K108)/'Imputed Data'!K108</f>
        <v>-8.0823293172690741E-2</v>
      </c>
      <c r="L120" s="7">
        <f>('Imputed Data'!L120-'Imputed Data'!L108)/'Imputed Data'!L108</f>
        <v>3.1457955232909791E-2</v>
      </c>
      <c r="M120" s="7">
        <f>('Imputed Data'!M120-'Imputed Data'!M108)/'Imputed Data'!M108</f>
        <v>-2.4509803921569555E-3</v>
      </c>
      <c r="N120" s="7">
        <f>('Imputed Data'!N120-'Imputed Data'!N108)/'Imputed Data'!N108</f>
        <v>0.19575471698113217</v>
      </c>
      <c r="O120" s="7">
        <f>('Imputed Data'!O120-'Imputed Data'!O108)/'Imputed Data'!O108</f>
        <v>4.0928527794746594E-2</v>
      </c>
      <c r="P120" s="7">
        <f>('Imputed Data'!P120-'Imputed Data'!P108)/'Imputed Data'!P108</f>
        <v>7.9772079772079771E-2</v>
      </c>
      <c r="Q120" s="7">
        <f>('Imputed Data'!Q120-'Imputed Data'!Q108)/'Imputed Data'!Q108</f>
        <v>5.0677666470241738E-2</v>
      </c>
      <c r="R120" s="7">
        <f>('Imputed Data'!R120-'Imputed Data'!R108)/'Imputed Data'!R108</f>
        <v>2.0736132711249352E-2</v>
      </c>
      <c r="S120" s="7">
        <f>('Imputed Data'!S120-'Imputed Data'!S108)/'Imputed Data'!S108</f>
        <v>9.5095693779904344E-2</v>
      </c>
      <c r="T120" s="7">
        <f>('Imputed Data'!T120-'Imputed Data'!T108)/'Imputed Data'!T108</f>
        <v>0.11944091486658184</v>
      </c>
      <c r="U120" s="7">
        <f>('Imputed Data'!U120-'Imputed Data'!U108)/'Imputed Data'!U108</f>
        <v>9.8311218335343675E-2</v>
      </c>
      <c r="V120" s="7">
        <f>('Imputed Data'!V120-'Imputed Data'!V108)/'Imputed Data'!V108</f>
        <v>4.6285018270402094E-2</v>
      </c>
      <c r="W120" s="7">
        <f>('Imputed Data'!W120-'Imputed Data'!W108)/'Imputed Data'!W108</f>
        <v>0.1061622940817572</v>
      </c>
      <c r="X120" s="7">
        <f>('Imputed Data'!X120-'Imputed Data'!X108)/'Imputed Data'!X108</f>
        <v>7.5957313245448799E-2</v>
      </c>
      <c r="Y120" s="7">
        <f>('Imputed Data'!Y120-'Imputed Data'!Y108)/'Imputed Data'!Y108</f>
        <v>5.8269570335491495E-2</v>
      </c>
      <c r="Z120" s="7">
        <f>('Imputed Data'!Z120-'Imputed Data'!Z108)/'Imputed Data'!Z108</f>
        <v>5.2971576227390106E-2</v>
      </c>
      <c r="AA120" s="7">
        <f>('Imputed Data'!AA120-'Imputed Data'!AA108)/'Imputed Data'!AA108</f>
        <v>5.4443053817271513E-2</v>
      </c>
      <c r="AB120" s="7">
        <f>('Imputed Data'!AB120-'Imputed Data'!AB108)/'Imputed Data'!AB108</f>
        <v>5.7212416311624936E-2</v>
      </c>
      <c r="AC120" s="7">
        <f>('Imputed Data'!AC120-'Imputed Data'!AC108)/'Imputed Data'!AC108</f>
        <v>7.0283600493218287E-2</v>
      </c>
      <c r="AD120" s="7">
        <f>('Imputed Data'!AD120-'Imputed Data'!AD108)/'Imputed Data'!AD108</f>
        <v>6.0099132589838837E-2</v>
      </c>
      <c r="AE120" s="7">
        <f>('Imputed Data'!AE120-'Imputed Data'!AE108)/'Imputed Data'!AE108</f>
        <v>5.8788242351529768E-2</v>
      </c>
    </row>
    <row r="121" spans="1:31" x14ac:dyDescent="0.25">
      <c r="A121" s="1">
        <f>'Imputed Data'!A121</f>
        <v>44896</v>
      </c>
      <c r="B121" s="1" t="str">
        <f>'Imputed Data'!B121</f>
        <v>Rural+Urban</v>
      </c>
      <c r="C121" s="2">
        <f>'Imputed Data'!C121</f>
        <v>2022</v>
      </c>
      <c r="D121" s="1" t="str">
        <f>'Imputed Data'!D121</f>
        <v>December</v>
      </c>
      <c r="E121" s="7">
        <f>('Imputed Data'!E121-'Imputed Data'!E109)/'Imputed Data'!E109</f>
        <v>0.1378614660390047</v>
      </c>
      <c r="F121" s="7">
        <f>('Imputed Data'!F121-'Imputed Data'!F109)/'Imputed Data'!F109</f>
        <v>5.130784708249491E-2</v>
      </c>
      <c r="G121" s="7">
        <f>('Imputed Data'!G121-'Imputed Data'!G109)/'Imputed Data'!G109</f>
        <v>6.9139966273187081E-2</v>
      </c>
      <c r="H121" s="7">
        <f>('Imputed Data'!H121-'Imputed Data'!H109)/'Imputed Data'!H109</f>
        <v>8.5678549093183162E-2</v>
      </c>
      <c r="I121" s="7">
        <f>('Imputed Data'!I121-'Imputed Data'!I109)/'Imputed Data'!I109</f>
        <v>4.7974413646055744E-3</v>
      </c>
      <c r="J121" s="7">
        <f>('Imputed Data'!J121-'Imputed Data'!J109)/'Imputed Data'!J109</f>
        <v>2.0012911555842443E-2</v>
      </c>
      <c r="K121" s="7">
        <f>('Imputed Data'!K121-'Imputed Data'!K109)/'Imputed Data'!K109</f>
        <v>-0.15082315454062667</v>
      </c>
      <c r="L121" s="7">
        <f>('Imputed Data'!L121-'Imputed Data'!L109)/'Imputed Data'!L109</f>
        <v>3.892944038929444E-2</v>
      </c>
      <c r="M121" s="7">
        <f>('Imputed Data'!M121-'Imputed Data'!M109)/'Imputed Data'!M109</f>
        <v>6.6115702479338607E-3</v>
      </c>
      <c r="N121" s="7">
        <f>('Imputed Data'!N121-'Imputed Data'!N109)/'Imputed Data'!N109</f>
        <v>0.20351906158357766</v>
      </c>
      <c r="O121" s="7">
        <f>('Imputed Data'!O121-'Imputed Data'!O109)/'Imputed Data'!O109</f>
        <v>4.1412911084043921E-2</v>
      </c>
      <c r="P121" s="7">
        <f>('Imputed Data'!P121-'Imputed Data'!P109)/'Imputed Data'!P109</f>
        <v>7.818696883852698E-2</v>
      </c>
      <c r="Q121" s="7">
        <f>('Imputed Data'!Q121-'Imputed Data'!Q109)/'Imputed Data'!Q109</f>
        <v>4.577883472057085E-2</v>
      </c>
      <c r="R121" s="7">
        <f>('Imputed Data'!R121-'Imputed Data'!R109)/'Imputed Data'!R109</f>
        <v>2.5467775467775497E-2</v>
      </c>
      <c r="S121" s="7">
        <f>('Imputed Data'!S121-'Imputed Data'!S109)/'Imputed Data'!S109</f>
        <v>9.1988130563798218E-2</v>
      </c>
      <c r="T121" s="7">
        <f>('Imputed Data'!T121-'Imputed Data'!T109)/'Imputed Data'!T109</f>
        <v>0.11531190926276</v>
      </c>
      <c r="U121" s="7">
        <f>('Imputed Data'!U121-'Imputed Data'!U109)/'Imputed Data'!U109</f>
        <v>9.580838323353294E-2</v>
      </c>
      <c r="V121" s="7">
        <f>('Imputed Data'!V121-'Imputed Data'!V109)/'Imputed Data'!V109</f>
        <v>4.4675642594859136E-2</v>
      </c>
      <c r="W121" s="7">
        <f>('Imputed Data'!W121-'Imputed Data'!W109)/'Imputed Data'!W109</f>
        <v>0.10907982937233399</v>
      </c>
      <c r="X121" s="7">
        <f>('Imputed Data'!X121-'Imputed Data'!X109)/'Imputed Data'!X109</f>
        <v>7.4282147315855224E-2</v>
      </c>
      <c r="Y121" s="7">
        <f>('Imputed Data'!Y121-'Imputed Data'!Y109)/'Imputed Data'!Y109</f>
        <v>6.1547479484173509E-2</v>
      </c>
      <c r="Z121" s="7">
        <f>('Imputed Data'!Z121-'Imputed Data'!Z109)/'Imputed Data'!Z109</f>
        <v>4.9454078355812572E-2</v>
      </c>
      <c r="AA121" s="7">
        <f>('Imputed Data'!AA121-'Imputed Data'!AA109)/'Imputed Data'!AA109</f>
        <v>5.168119551681203E-2</v>
      </c>
      <c r="AB121" s="7">
        <f>('Imputed Data'!AB121-'Imputed Data'!AB109)/'Imputed Data'!AB109</f>
        <v>5.9002433090024259E-2</v>
      </c>
      <c r="AC121" s="7">
        <f>('Imputed Data'!AC121-'Imputed Data'!AC109)/'Imputed Data'!AC109</f>
        <v>8.1180811808118189E-2</v>
      </c>
      <c r="AD121" s="7">
        <f>('Imputed Data'!AD121-'Imputed Data'!AD109)/'Imputed Data'!AD109</f>
        <v>6.1728395061728392E-2</v>
      </c>
      <c r="AE121" s="7">
        <f>('Imputed Data'!AE121-'Imputed Data'!AE109)/'Imputed Data'!AE109</f>
        <v>5.7160048134777382E-2</v>
      </c>
    </row>
    <row r="122" spans="1:31" x14ac:dyDescent="0.25">
      <c r="A122" s="1">
        <f>'Imputed Data'!A122</f>
        <v>44927</v>
      </c>
      <c r="B122" s="1" t="str">
        <f>'Imputed Data'!B122</f>
        <v>Rural+Urban</v>
      </c>
      <c r="C122" s="2">
        <f>'Imputed Data'!C122</f>
        <v>2023</v>
      </c>
      <c r="D122" s="1" t="str">
        <f>'Imputed Data'!D122</f>
        <v>January</v>
      </c>
      <c r="E122" s="7">
        <f>('Imputed Data'!E122-'Imputed Data'!E110)/'Imputed Data'!E110</f>
        <v>0.16254180602006696</v>
      </c>
      <c r="F122" s="7">
        <f>('Imputed Data'!F122-'Imputed Data'!F110)/'Imputed Data'!F110</f>
        <v>6.0392551585304481E-2</v>
      </c>
      <c r="G122" s="7">
        <f>('Imputed Data'!G122-'Imputed Data'!G110)/'Imputed Data'!G110</f>
        <v>8.7807606263982027E-2</v>
      </c>
      <c r="H122" s="7">
        <f>('Imputed Data'!H122-'Imputed Data'!H110)/'Imputed Data'!H110</f>
        <v>8.7850467289719597E-2</v>
      </c>
      <c r="I122" s="7">
        <f>('Imputed Data'!I122-'Imputed Data'!I110)/'Imputed Data'!I110</f>
        <v>1.3535462912831619E-2</v>
      </c>
      <c r="J122" s="7">
        <f>('Imputed Data'!J122-'Imputed Data'!J110)/'Imputed Data'!J110</f>
        <v>2.9928432010410039E-2</v>
      </c>
      <c r="K122" s="7">
        <f>('Imputed Data'!K122-'Imputed Data'!K110)/'Imputed Data'!K110</f>
        <v>-0.11703958691910502</v>
      </c>
      <c r="L122" s="7">
        <f>('Imputed Data'!L122-'Imputed Data'!L110)/'Imputed Data'!L110</f>
        <v>4.2708968883465523E-2</v>
      </c>
      <c r="M122" s="7">
        <f>('Imputed Data'!M122-'Imputed Data'!M110)/'Imputed Data'!M110</f>
        <v>9.1666666666666199E-3</v>
      </c>
      <c r="N122" s="7">
        <f>('Imputed Data'!N122-'Imputed Data'!N110)/'Imputed Data'!N110</f>
        <v>0.21092388146426502</v>
      </c>
      <c r="O122" s="7">
        <f>('Imputed Data'!O122-'Imputed Data'!O110)/'Imputed Data'!O110</f>
        <v>4.3213633597078478E-2</v>
      </c>
      <c r="P122" s="7">
        <f>('Imputed Data'!P122-'Imputed Data'!P110)/'Imputed Data'!P110</f>
        <v>7.8398195149464056E-2</v>
      </c>
      <c r="Q122" s="7">
        <f>('Imputed Data'!Q122-'Imputed Data'!Q110)/'Imputed Data'!Q110</f>
        <v>6.189903846153836E-2</v>
      </c>
      <c r="R122" s="7">
        <f>('Imputed Data'!R122-'Imputed Data'!R110)/'Imputed Data'!R110</f>
        <v>3.1217481789802291E-2</v>
      </c>
      <c r="S122" s="7">
        <f>('Imputed Data'!S122-'Imputed Data'!S110)/'Imputed Data'!S110</f>
        <v>8.8287227781047667E-2</v>
      </c>
      <c r="T122" s="7">
        <f>('Imputed Data'!T122-'Imputed Data'!T110)/'Imputed Data'!T110</f>
        <v>0.10516490354698199</v>
      </c>
      <c r="U122" s="7">
        <f>('Imputed Data'!U122-'Imputed Data'!U110)/'Imputed Data'!U110</f>
        <v>9.0801186943620243E-2</v>
      </c>
      <c r="V122" s="7">
        <f>('Imputed Data'!V122-'Imputed Data'!V110)/'Imputed Data'!V110</f>
        <v>4.620060790273553E-2</v>
      </c>
      <c r="W122" s="7">
        <f>('Imputed Data'!W122-'Imputed Data'!W110)/'Imputed Data'!W110</f>
        <v>0.1084043848964678</v>
      </c>
      <c r="X122" s="7">
        <f>('Imputed Data'!X122-'Imputed Data'!X110)/'Imputed Data'!X110</f>
        <v>7.3246430788330305E-2</v>
      </c>
      <c r="Y122" s="7">
        <f>('Imputed Data'!Y122-'Imputed Data'!Y110)/'Imputed Data'!Y110</f>
        <v>6.3593932322053709E-2</v>
      </c>
      <c r="Z122" s="7">
        <f>('Imputed Data'!Z122-'Imputed Data'!Z110)/'Imputed Data'!Z110</f>
        <v>4.5367412140575041E-2</v>
      </c>
      <c r="AA122" s="7">
        <f>('Imputed Data'!AA122-'Imputed Data'!AA110)/'Imputed Data'!AA110</f>
        <v>5.148883374689834E-2</v>
      </c>
      <c r="AB122" s="7">
        <f>('Imputed Data'!AB122-'Imputed Data'!AB110)/'Imputed Data'!AB110</f>
        <v>5.8287795992714164E-2</v>
      </c>
      <c r="AC122" s="7">
        <f>('Imputed Data'!AC122-'Imputed Data'!AC110)/'Imputed Data'!AC110</f>
        <v>9.5705521472392599E-2</v>
      </c>
      <c r="AD122" s="7">
        <f>('Imputed Data'!AD122-'Imputed Data'!AD110)/'Imputed Data'!AD110</f>
        <v>6.2077443146896269E-2</v>
      </c>
      <c r="AE122" s="7">
        <f>('Imputed Data'!AE122-'Imputed Data'!AE110)/'Imputed Data'!AE110</f>
        <v>6.5178032589016374E-2</v>
      </c>
    </row>
    <row r="123" spans="1:31" x14ac:dyDescent="0.25">
      <c r="A123" s="1">
        <f>'Imputed Data'!A123</f>
        <v>44958</v>
      </c>
      <c r="B123" s="1" t="str">
        <f>'Imputed Data'!B123</f>
        <v>Rural+Urban</v>
      </c>
      <c r="C123" s="2">
        <f>'Imputed Data'!C123</f>
        <v>2023</v>
      </c>
      <c r="D123" s="1" t="str">
        <f>'Imputed Data'!D123</f>
        <v>February</v>
      </c>
      <c r="E123" s="7">
        <f>('Imputed Data'!E123-'Imputed Data'!E111)/'Imputed Data'!E111</f>
        <v>0.16266666666666671</v>
      </c>
      <c r="F123" s="7">
        <f>('Imputed Data'!F123-'Imputed Data'!F111)/'Imputed Data'!F111</f>
        <v>3.5393818544366872E-2</v>
      </c>
      <c r="G123" s="7">
        <f>('Imputed Data'!G123-'Imputed Data'!G111)/'Imputed Data'!G111</f>
        <v>-3.4129692832765798E-3</v>
      </c>
      <c r="H123" s="7">
        <f>('Imputed Data'!H123-'Imputed Data'!H111)/'Imputed Data'!H111</f>
        <v>0.10329807093963923</v>
      </c>
      <c r="I123" s="7">
        <f>('Imputed Data'!I123-'Imputed Data'!I111)/'Imputed Data'!I111</f>
        <v>-3.0286641427798779E-2</v>
      </c>
      <c r="J123" s="7">
        <f>('Imputed Data'!J123-'Imputed Data'!J111)/'Imputed Data'!J111</f>
        <v>0.10279765777488623</v>
      </c>
      <c r="K123" s="7">
        <f>('Imputed Data'!K123-'Imputed Data'!K111)/'Imputed Data'!K111</f>
        <v>-0.10017678255745434</v>
      </c>
      <c r="L123" s="7">
        <f>('Imputed Data'!L123-'Imputed Data'!L111)/'Imputed Data'!L111</f>
        <v>4.4593769089798486E-2</v>
      </c>
      <c r="M123" s="7">
        <f>('Imputed Data'!M123-'Imputed Data'!M111)/'Imputed Data'!M111</f>
        <v>9.2514718250630307E-3</v>
      </c>
      <c r="N123" s="7">
        <f>('Imputed Data'!N123-'Imputed Data'!N111)/'Imputed Data'!N111</f>
        <v>0.2030981067125644</v>
      </c>
      <c r="O123" s="7">
        <f>('Imputed Data'!O123-'Imputed Data'!O111)/'Imputed Data'!O111</f>
        <v>4.6144505160898748E-2</v>
      </c>
      <c r="P123" s="7">
        <f>('Imputed Data'!P123-'Imputed Data'!P111)/'Imputed Data'!P111</f>
        <v>8.4269662921348312E-2</v>
      </c>
      <c r="Q123" s="7">
        <f>('Imputed Data'!Q123-'Imputed Data'!Q111)/'Imputed Data'!Q111</f>
        <v>6.4981949458483831E-2</v>
      </c>
      <c r="R123" s="7">
        <f>('Imputed Data'!R123-'Imputed Data'!R111)/'Imputed Data'!R111</f>
        <v>3.4751037344398279E-2</v>
      </c>
      <c r="S123" s="7">
        <f>('Imputed Data'!S123-'Imputed Data'!S111)/'Imputed Data'!S111</f>
        <v>9.0163934426229372E-2</v>
      </c>
      <c r="T123" s="7">
        <f>('Imputed Data'!T123-'Imputed Data'!T111)/'Imputed Data'!T111</f>
        <v>0.10036945812807871</v>
      </c>
      <c r="U123" s="7">
        <f>('Imputed Data'!U123-'Imputed Data'!U111)/'Imputed Data'!U111</f>
        <v>9.1391509433962265E-2</v>
      </c>
      <c r="V123" s="7">
        <f>('Imputed Data'!V123-'Imputed Data'!V111)/'Imputed Data'!V111</f>
        <v>4.8338368580060423E-2</v>
      </c>
      <c r="W123" s="7">
        <f>('Imputed Data'!W123-'Imputed Data'!W111)/'Imputed Data'!W111</f>
        <v>9.897404948702479E-2</v>
      </c>
      <c r="X123" s="7">
        <f>('Imputed Data'!X123-'Imputed Data'!X111)/'Imputed Data'!X111</f>
        <v>7.663782447465993E-2</v>
      </c>
      <c r="Y123" s="7">
        <f>('Imputed Data'!Y123-'Imputed Data'!Y111)/'Imputed Data'!Y111</f>
        <v>7.0847851335656312E-2</v>
      </c>
      <c r="Z123" s="7">
        <f>('Imputed Data'!Z123-'Imputed Data'!Z111)/'Imputed Data'!Z111</f>
        <v>4.6526449968132461E-2</v>
      </c>
      <c r="AA123" s="7">
        <f>('Imputed Data'!AA123-'Imputed Data'!AA111)/'Imputed Data'!AA111</f>
        <v>5.0586057988895851E-2</v>
      </c>
      <c r="AB123" s="7">
        <f>('Imputed Data'!AB123-'Imputed Data'!AB111)/'Imputed Data'!AB111</f>
        <v>5.8041112454655347E-2</v>
      </c>
      <c r="AC123" s="7">
        <f>('Imputed Data'!AC123-'Imputed Data'!AC111)/'Imputed Data'!AC111</f>
        <v>0.10097323600973232</v>
      </c>
      <c r="AD123" s="7">
        <f>('Imputed Data'!AD123-'Imputed Data'!AD111)/'Imputed Data'!AD111</f>
        <v>6.4831804281345537E-2</v>
      </c>
      <c r="AE123" s="7">
        <f>('Imputed Data'!AE123-'Imputed Data'!AE111)/'Imputed Data'!AE111</f>
        <v>6.6827212522576729E-2</v>
      </c>
    </row>
    <row r="124" spans="1:31" x14ac:dyDescent="0.25">
      <c r="A124" s="1">
        <f>'Imputed Data'!A124</f>
        <v>44986</v>
      </c>
      <c r="B124" s="1" t="str">
        <f>'Imputed Data'!B124</f>
        <v>Rural+Urban</v>
      </c>
      <c r="C124" s="2">
        <f>'Imputed Data'!C124</f>
        <v>2023</v>
      </c>
      <c r="D124" s="1" t="str">
        <f>'Imputed Data'!D124</f>
        <v>March</v>
      </c>
      <c r="E124" s="7">
        <f>('Imputed Data'!E124-'Imputed Data'!E112)/'Imputed Data'!E112</f>
        <v>0.15267680105750162</v>
      </c>
      <c r="F124" s="7">
        <f>('Imputed Data'!F124-'Imputed Data'!F112)/'Imputed Data'!F112</f>
        <v>-1.423825344091125E-2</v>
      </c>
      <c r="G124" s="7">
        <f>('Imputed Data'!G124-'Imputed Data'!G112)/'Imputed Data'!G112</f>
        <v>4.4100119189511185E-2</v>
      </c>
      <c r="H124" s="7">
        <f>('Imputed Data'!H124-'Imputed Data'!H112)/'Imputed Data'!H112</f>
        <v>9.3094944512947128E-2</v>
      </c>
      <c r="I124" s="7">
        <f>('Imputed Data'!I124-'Imputed Data'!I112)/'Imputed Data'!I112</f>
        <v>-7.913669064748205E-2</v>
      </c>
      <c r="J124" s="7">
        <f>('Imputed Data'!J124-'Imputed Data'!J112)/'Imputed Data'!J112</f>
        <v>7.5507614213198002E-2</v>
      </c>
      <c r="K124" s="7">
        <f>('Imputed Data'!K124-'Imputed Data'!K112)/'Imputed Data'!K112</f>
        <v>-8.4481725584182113E-2</v>
      </c>
      <c r="L124" s="7">
        <f>('Imputed Data'!L124-'Imputed Data'!L112)/'Imputed Data'!L112</f>
        <v>4.392922513727876E-2</v>
      </c>
      <c r="M124" s="7">
        <f>('Imputed Data'!M124-'Imputed Data'!M112)/'Imputed Data'!M112</f>
        <v>1.0101010101010124E-2</v>
      </c>
      <c r="N124" s="7">
        <f>('Imputed Data'!N124-'Imputed Data'!N112)/'Imputed Data'!N112</f>
        <v>0.18207440811724906</v>
      </c>
      <c r="O124" s="7">
        <f>('Imputed Data'!O124-'Imputed Data'!O112)/'Imputed Data'!O112</f>
        <v>4.2347247428917115E-2</v>
      </c>
      <c r="P124" s="7">
        <f>('Imputed Data'!P124-'Imputed Data'!P112)/'Imputed Data'!P112</f>
        <v>7.6408254322364685E-2</v>
      </c>
      <c r="Q124" s="7">
        <f>('Imputed Data'!Q124-'Imputed Data'!Q112)/'Imputed Data'!Q112</f>
        <v>5.1068883610451268E-2</v>
      </c>
      <c r="R124" s="7">
        <f>('Imputed Data'!R124-'Imputed Data'!R112)/'Imputed Data'!R112</f>
        <v>2.9943211151264904E-2</v>
      </c>
      <c r="S124" s="7">
        <f>('Imputed Data'!S124-'Imputed Data'!S112)/'Imputed Data'!S112</f>
        <v>8.1348053457292277E-2</v>
      </c>
      <c r="T124" s="7">
        <f>('Imputed Data'!T124-'Imputed Data'!T112)/'Imputed Data'!T112</f>
        <v>8.5662211421628151E-2</v>
      </c>
      <c r="U124" s="7">
        <f>('Imputed Data'!U124-'Imputed Data'!U112)/'Imputed Data'!U112</f>
        <v>8.1823495032144949E-2</v>
      </c>
      <c r="V124" s="7">
        <f>('Imputed Data'!V124-'Imputed Data'!V112)/'Imputed Data'!V112</f>
        <v>4.9606775559588555E-2</v>
      </c>
      <c r="W124" s="7">
        <f>('Imputed Data'!W124-'Imputed Data'!W112)/'Imputed Data'!W112</f>
        <v>8.7918660287081452E-2</v>
      </c>
      <c r="X124" s="7">
        <f>('Imputed Data'!X124-'Imputed Data'!X112)/'Imputed Data'!X112</f>
        <v>7.0024570024569882E-2</v>
      </c>
      <c r="Y124" s="7">
        <f>('Imputed Data'!Y124-'Imputed Data'!Y112)/'Imputed Data'!Y112</f>
        <v>6.589595375722547E-2</v>
      </c>
      <c r="Z124" s="7">
        <f>('Imputed Data'!Z124-'Imputed Data'!Z112)/'Imputed Data'!Z112</f>
        <v>3.9898670044331744E-2</v>
      </c>
      <c r="AA124" s="7">
        <f>('Imputed Data'!AA124-'Imputed Data'!AA112)/'Imputed Data'!AA112</f>
        <v>4.2865890998162889E-2</v>
      </c>
      <c r="AB124" s="7">
        <f>('Imputed Data'!AB124-'Imputed Data'!AB112)/'Imputed Data'!AB112</f>
        <v>5.4216867469879519E-2</v>
      </c>
      <c r="AC124" s="7">
        <f>('Imputed Data'!AC124-'Imputed Data'!AC112)/'Imputed Data'!AC112</f>
        <v>8.2535885167464185E-2</v>
      </c>
      <c r="AD124" s="7">
        <f>('Imputed Data'!AD124-'Imputed Data'!AD112)/'Imputed Data'!AD112</f>
        <v>5.7715674362089915E-2</v>
      </c>
      <c r="AE124" s="7">
        <f>('Imputed Data'!AE124-'Imputed Data'!AE112)/'Imputed Data'!AE112</f>
        <v>5.6648777579010143E-2</v>
      </c>
    </row>
    <row r="125" spans="1:31" x14ac:dyDescent="0.25">
      <c r="A125" s="1">
        <f>'Imputed Data'!A125</f>
        <v>45017</v>
      </c>
      <c r="B125" s="1" t="str">
        <f>'Imputed Data'!B125</f>
        <v>Rural+Urban</v>
      </c>
      <c r="C125" s="2">
        <f>'Imputed Data'!C125</f>
        <v>2023</v>
      </c>
      <c r="D125" s="1" t="str">
        <f>'Imputed Data'!D125</f>
        <v>April</v>
      </c>
      <c r="E125" s="7">
        <f>('Imputed Data'!E125-'Imputed Data'!E113)/'Imputed Data'!E113</f>
        <v>0.13669064748201443</v>
      </c>
      <c r="F125" s="7">
        <f>('Imputed Data'!F125-'Imputed Data'!F113)/'Imputed Data'!F113</f>
        <v>-1.1803588290840415E-2</v>
      </c>
      <c r="G125" s="7">
        <f>('Imputed Data'!G125-'Imputed Data'!G113)/'Imputed Data'!G113</f>
        <v>3.1003039513677777E-2</v>
      </c>
      <c r="H125" s="7">
        <f>('Imputed Data'!H125-'Imputed Data'!H113)/'Imputed Data'!H113</f>
        <v>8.8468578401464298E-2</v>
      </c>
      <c r="I125" s="7">
        <f>('Imputed Data'!I125-'Imputed Data'!I113)/'Imputed Data'!I113</f>
        <v>-0.1233082706766917</v>
      </c>
      <c r="J125" s="7">
        <f>('Imputed Data'!J125-'Imputed Data'!J113)/'Imputed Data'!J113</f>
        <v>2.1436848203939846E-2</v>
      </c>
      <c r="K125" s="7">
        <f>('Imputed Data'!K125-'Imputed Data'!K113)/'Imputed Data'!K113</f>
        <v>-6.4981949458483651E-2</v>
      </c>
      <c r="L125" s="7">
        <f>('Imputed Data'!L125-'Imputed Data'!L113)/'Imputed Data'!L113</f>
        <v>5.2823315118397191E-2</v>
      </c>
      <c r="M125" s="7">
        <f>('Imputed Data'!M125-'Imputed Data'!M113)/'Imputed Data'!M113</f>
        <v>1.9327731092436951E-2</v>
      </c>
      <c r="N125" s="7">
        <f>('Imputed Data'!N125-'Imputed Data'!N113)/'Imputed Data'!N113</f>
        <v>0.17429674572531711</v>
      </c>
      <c r="O125" s="7">
        <f>('Imputed Data'!O125-'Imputed Data'!O113)/'Imputed Data'!O113</f>
        <v>4.0312876052948358E-2</v>
      </c>
      <c r="P125" s="7">
        <f>('Imputed Data'!P125-'Imputed Data'!P113)/'Imputed Data'!P113</f>
        <v>6.9651741293532299E-2</v>
      </c>
      <c r="Q125" s="7">
        <f>('Imputed Data'!Q125-'Imputed Data'!Q113)/'Imputed Data'!Q113</f>
        <v>4.1569086651053827E-2</v>
      </c>
      <c r="R125" s="7">
        <f>('Imputed Data'!R125-'Imputed Data'!R113)/'Imputed Data'!R113</f>
        <v>3.4553893759669871E-2</v>
      </c>
      <c r="S125" s="7">
        <f>('Imputed Data'!S125-'Imputed Data'!S113)/'Imputed Data'!S113</f>
        <v>7.4755606670500283E-2</v>
      </c>
      <c r="T125" s="7">
        <f>('Imputed Data'!T125-'Imputed Data'!T113)/'Imputed Data'!T113</f>
        <v>7.6276276276276214E-2</v>
      </c>
      <c r="U125" s="7">
        <f>('Imputed Data'!U125-'Imputed Data'!U113)/'Imputed Data'!U113</f>
        <v>7.4652777777777637E-2</v>
      </c>
      <c r="V125" s="7">
        <f>('Imputed Data'!V125-'Imputed Data'!V113)/'Imputed Data'!V113</f>
        <v>4.9101796407185559E-2</v>
      </c>
      <c r="W125" s="7">
        <f>('Imputed Data'!W125-'Imputed Data'!W113)/'Imputed Data'!W113</f>
        <v>5.5168408826945417E-2</v>
      </c>
      <c r="X125" s="7">
        <f>('Imputed Data'!X125-'Imputed Data'!X113)/'Imputed Data'!X113</f>
        <v>6.4634146341463375E-2</v>
      </c>
      <c r="Y125" s="7">
        <f>('Imputed Data'!Y125-'Imputed Data'!Y113)/'Imputed Data'!Y113</f>
        <v>6.3218390804597707E-2</v>
      </c>
      <c r="Z125" s="7">
        <f>('Imputed Data'!Z125-'Imputed Data'!Z113)/'Imputed Data'!Z113</f>
        <v>1.1685116851168548E-2</v>
      </c>
      <c r="AA125" s="7">
        <f>('Imputed Data'!AA125-'Imputed Data'!AA113)/'Imputed Data'!AA113</f>
        <v>3.8321167883211577E-2</v>
      </c>
      <c r="AB125" s="7">
        <f>('Imputed Data'!AB125-'Imputed Data'!AB113)/'Imputed Data'!AB113</f>
        <v>5.6920311563810666E-2</v>
      </c>
      <c r="AC125" s="7">
        <f>('Imputed Data'!AC125-'Imputed Data'!AC113)/'Imputed Data'!AC113</f>
        <v>9.004739336492884E-2</v>
      </c>
      <c r="AD125" s="7">
        <f>('Imputed Data'!AD125-'Imputed Data'!AD113)/'Imputed Data'!AD113</f>
        <v>4.9160671462829666E-2</v>
      </c>
      <c r="AE125" s="7">
        <f>('Imputed Data'!AE125-'Imputed Data'!AE113)/'Imputed Data'!AE113</f>
        <v>4.7031158142269255E-2</v>
      </c>
    </row>
    <row r="126" spans="1:31" x14ac:dyDescent="0.25">
      <c r="A126" s="1">
        <f>'Imputed Data'!A126</f>
        <v>45047</v>
      </c>
      <c r="B126" s="1" t="str">
        <f>'Imputed Data'!B126</f>
        <v>Rural+Urban</v>
      </c>
      <c r="C126" s="2">
        <f>'Imputed Data'!C126</f>
        <v>2023</v>
      </c>
      <c r="D126" s="1" t="str">
        <f>'Imputed Data'!D126</f>
        <v>May</v>
      </c>
      <c r="E126" s="7">
        <f>('Imputed Data'!E126-'Imputed Data'!E114)/'Imputed Data'!E114</f>
        <v>0.12719013627514597</v>
      </c>
      <c r="F126" s="7">
        <f>('Imputed Data'!F126-'Imputed Data'!F114)/'Imputed Data'!F114</f>
        <v>-1.2442396313364003E-2</v>
      </c>
      <c r="G126" s="7">
        <f>('Imputed Data'!G126-'Imputed Data'!G114)/'Imputed Data'!G114</f>
        <v>6.6502463054187083E-2</v>
      </c>
      <c r="H126" s="7">
        <f>('Imputed Data'!H126-'Imputed Data'!H114)/'Imputed Data'!H114</f>
        <v>8.853850818677983E-2</v>
      </c>
      <c r="I126" s="7">
        <f>('Imputed Data'!I126-'Imputed Data'!I114)/'Imputed Data'!I114</f>
        <v>-0.16007905138339923</v>
      </c>
      <c r="J126" s="7">
        <f>('Imputed Data'!J126-'Imputed Data'!J114)/'Imputed Data'!J114</f>
        <v>7.0175438596490562E-3</v>
      </c>
      <c r="K126" s="7">
        <f>('Imputed Data'!K126-'Imputed Data'!K114)/'Imputed Data'!K114</f>
        <v>-7.9473985134362518E-2</v>
      </c>
      <c r="L126" s="7">
        <f>('Imputed Data'!L126-'Imputed Data'!L114)/'Imputed Data'!L114</f>
        <v>6.6180935033394089E-2</v>
      </c>
      <c r="M126" s="7">
        <f>('Imputed Data'!M126-'Imputed Data'!M114)/'Imputed Data'!M114</f>
        <v>2.5062656641604009E-2</v>
      </c>
      <c r="N126" s="7">
        <f>('Imputed Data'!N126-'Imputed Data'!N114)/'Imputed Data'!N114</f>
        <v>0.1790156841535965</v>
      </c>
      <c r="O126" s="7">
        <f>('Imputed Data'!O126-'Imputed Data'!O114)/'Imputed Data'!O114</f>
        <v>3.7701974865350159E-2</v>
      </c>
      <c r="P126" s="7">
        <f>('Imputed Data'!P126-'Imputed Data'!P114)/'Imputed Data'!P114</f>
        <v>6.410958904109583E-2</v>
      </c>
      <c r="Q126" s="7">
        <f>('Imputed Data'!Q126-'Imputed Data'!Q114)/'Imputed Data'!Q114</f>
        <v>3.3467974610501917E-2</v>
      </c>
      <c r="R126" s="7">
        <f>('Imputed Data'!R126-'Imputed Data'!R114)/'Imputed Data'!R114</f>
        <v>3.5548686244204049E-2</v>
      </c>
      <c r="S126" s="7">
        <f>('Imputed Data'!S126-'Imputed Data'!S114)/'Imputed Data'!S114</f>
        <v>6.662870159453313E-2</v>
      </c>
      <c r="T126" s="7">
        <f>('Imputed Data'!T126-'Imputed Data'!T114)/'Imputed Data'!T114</f>
        <v>6.7102137767220793E-2</v>
      </c>
      <c r="U126" s="7">
        <f>('Imputed Data'!U126-'Imputed Data'!U114)/'Imputed Data'!U114</f>
        <v>6.643757159221074E-2</v>
      </c>
      <c r="V126" s="7">
        <f>('Imputed Data'!V126-'Imputed Data'!V114)/'Imputed Data'!V114</f>
        <v>4.8358208955223844E-2</v>
      </c>
      <c r="W126" s="7">
        <f>('Imputed Data'!W126-'Imputed Data'!W114)/'Imputed Data'!W114</f>
        <v>4.6964490263459432E-2</v>
      </c>
      <c r="X126" s="7">
        <f>('Imputed Data'!X126-'Imputed Data'!X114)/'Imputed Data'!X114</f>
        <v>6.0532687651331726E-2</v>
      </c>
      <c r="Y126" s="7">
        <f>('Imputed Data'!Y126-'Imputed Data'!Y114)/'Imputed Data'!Y114</f>
        <v>6.2356979405034194E-2</v>
      </c>
      <c r="Z126" s="7">
        <f>('Imputed Data'!Z126-'Imputed Data'!Z114)/'Imputed Data'!Z114</f>
        <v>1.1042944785276143E-2</v>
      </c>
      <c r="AA126" s="7">
        <f>('Imputed Data'!AA126-'Imputed Data'!AA114)/'Imputed Data'!AA114</f>
        <v>3.6947304663840067E-2</v>
      </c>
      <c r="AB126" s="7">
        <f>('Imputed Data'!AB126-'Imputed Data'!AB114)/'Imputed Data'!AB114</f>
        <v>5.4794520547945133E-2</v>
      </c>
      <c r="AC126" s="7">
        <f>('Imputed Data'!AC126-'Imputed Data'!AC114)/'Imputed Data'!AC114</f>
        <v>9.9762470308788501E-2</v>
      </c>
      <c r="AD126" s="7">
        <f>('Imputed Data'!AD126-'Imputed Data'!AD114)/'Imputed Data'!AD114</f>
        <v>4.8955223880596949E-2</v>
      </c>
      <c r="AE126" s="7">
        <f>('Imputed Data'!AE126-'Imputed Data'!AE114)/'Imputed Data'!AE114</f>
        <v>4.3098427489807842E-2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3EBB-8456-4DFA-A1BC-CA4681E8645C}">
  <dimension ref="A1:F38"/>
  <sheetViews>
    <sheetView workbookViewId="0">
      <selection activeCell="O35" sqref="O35"/>
    </sheetView>
  </sheetViews>
  <sheetFormatPr defaultRowHeight="15" x14ac:dyDescent="0.25"/>
  <cols>
    <col min="2" max="2" width="22.42578125" customWidth="1"/>
    <col min="3" max="3" width="13" customWidth="1"/>
  </cols>
  <sheetData>
    <row r="1" spans="1:3" x14ac:dyDescent="0.25">
      <c r="A1" s="13" t="s">
        <v>0</v>
      </c>
      <c r="B1" s="14" t="s">
        <v>64</v>
      </c>
      <c r="C1" s="58" t="s">
        <v>67</v>
      </c>
    </row>
    <row r="2" spans="1:3" x14ac:dyDescent="0.25">
      <c r="A2" s="59">
        <v>44197</v>
      </c>
      <c r="B2" s="60">
        <v>55.8</v>
      </c>
      <c r="C2" s="61"/>
    </row>
    <row r="3" spans="1:3" x14ac:dyDescent="0.25">
      <c r="A3" s="59">
        <v>44228</v>
      </c>
      <c r="B3" s="60">
        <v>61.6</v>
      </c>
      <c r="C3" s="62">
        <f t="shared" ref="C3:C30" si="0">(B3-B2)/B2</f>
        <v>0.10394265232974918</v>
      </c>
    </row>
    <row r="4" spans="1:3" x14ac:dyDescent="0.25">
      <c r="A4" s="59">
        <v>44256</v>
      </c>
      <c r="B4" s="60">
        <v>63.5</v>
      </c>
      <c r="C4" s="62">
        <f t="shared" si="0"/>
        <v>3.084415584415582E-2</v>
      </c>
    </row>
    <row r="5" spans="1:3" x14ac:dyDescent="0.25">
      <c r="A5" s="59">
        <v>44287</v>
      </c>
      <c r="B5" s="60">
        <v>64.7</v>
      </c>
      <c r="C5" s="62">
        <f t="shared" si="0"/>
        <v>1.8897637795275635E-2</v>
      </c>
    </row>
    <row r="6" spans="1:3" x14ac:dyDescent="0.25">
      <c r="A6" s="59">
        <v>44317</v>
      </c>
      <c r="B6" s="60">
        <v>68.599999999999994</v>
      </c>
      <c r="C6" s="62">
        <f t="shared" si="0"/>
        <v>6.0278207109737116E-2</v>
      </c>
    </row>
    <row r="7" spans="1:3" x14ac:dyDescent="0.25">
      <c r="A7" s="59">
        <v>44348</v>
      </c>
      <c r="B7" s="60">
        <v>73</v>
      </c>
      <c r="C7" s="62">
        <f t="shared" si="0"/>
        <v>6.4139941690962182E-2</v>
      </c>
    </row>
    <row r="8" spans="1:3" x14ac:dyDescent="0.25">
      <c r="A8" s="59">
        <v>44378</v>
      </c>
      <c r="B8" s="60">
        <v>74.39</v>
      </c>
      <c r="C8" s="62">
        <f t="shared" si="0"/>
        <v>1.9041095890410968E-2</v>
      </c>
    </row>
    <row r="9" spans="1:3" x14ac:dyDescent="0.25">
      <c r="A9" s="59">
        <v>44409</v>
      </c>
      <c r="B9" s="60">
        <v>70.02</v>
      </c>
      <c r="C9" s="62">
        <f t="shared" si="0"/>
        <v>-5.8744454899852194E-2</v>
      </c>
    </row>
    <row r="10" spans="1:3" x14ac:dyDescent="0.25">
      <c r="A10" s="59">
        <v>44440</v>
      </c>
      <c r="B10" s="60">
        <v>74.599999999999994</v>
      </c>
      <c r="C10" s="62">
        <f t="shared" si="0"/>
        <v>6.5409882890602664E-2</v>
      </c>
    </row>
    <row r="11" spans="1:3" x14ac:dyDescent="0.25">
      <c r="A11" s="59">
        <v>44470</v>
      </c>
      <c r="B11" s="60">
        <v>83.65</v>
      </c>
      <c r="C11" s="62">
        <f t="shared" si="0"/>
        <v>0.12131367292225217</v>
      </c>
    </row>
    <row r="12" spans="1:3" x14ac:dyDescent="0.25">
      <c r="A12" s="59">
        <v>44501</v>
      </c>
      <c r="B12" s="60">
        <v>80.77</v>
      </c>
      <c r="C12" s="62">
        <f t="shared" si="0"/>
        <v>-3.4429169157202746E-2</v>
      </c>
    </row>
    <row r="13" spans="1:3" x14ac:dyDescent="0.25">
      <c r="A13" s="59">
        <v>44531</v>
      </c>
      <c r="B13" s="60">
        <v>74.31</v>
      </c>
      <c r="C13" s="62">
        <f t="shared" si="0"/>
        <v>-7.9980190664850737E-2</v>
      </c>
    </row>
    <row r="14" spans="1:3" x14ac:dyDescent="0.25">
      <c r="A14" s="59">
        <v>44562</v>
      </c>
      <c r="B14" s="60">
        <v>85.53</v>
      </c>
      <c r="C14" s="62">
        <f t="shared" si="0"/>
        <v>0.15098909971740007</v>
      </c>
    </row>
    <row r="15" spans="1:3" x14ac:dyDescent="0.25">
      <c r="A15" s="59">
        <v>44593</v>
      </c>
      <c r="B15" s="60">
        <v>95.76</v>
      </c>
      <c r="C15" s="62">
        <f t="shared" si="0"/>
        <v>0.11960715538407581</v>
      </c>
    </row>
    <row r="16" spans="1:3" x14ac:dyDescent="0.25">
      <c r="A16" s="59">
        <v>44621</v>
      </c>
      <c r="B16" s="60">
        <v>115.59</v>
      </c>
      <c r="C16" s="62">
        <f t="shared" si="0"/>
        <v>0.20708020050125311</v>
      </c>
    </row>
    <row r="17" spans="1:3" x14ac:dyDescent="0.25">
      <c r="A17" s="59">
        <v>44652</v>
      </c>
      <c r="B17" s="60">
        <v>105.78</v>
      </c>
      <c r="C17" s="62">
        <f t="shared" si="0"/>
        <v>-8.4868933298728286E-2</v>
      </c>
    </row>
    <row r="18" spans="1:3" x14ac:dyDescent="0.25">
      <c r="A18" s="59">
        <v>44682</v>
      </c>
      <c r="B18" s="60">
        <v>112.37</v>
      </c>
      <c r="C18" s="62">
        <f t="shared" si="0"/>
        <v>6.2299111363206684E-2</v>
      </c>
    </row>
    <row r="19" spans="1:3" x14ac:dyDescent="0.25">
      <c r="A19" s="59">
        <v>44713</v>
      </c>
      <c r="B19" s="60">
        <v>120.08</v>
      </c>
      <c r="C19" s="62">
        <f t="shared" si="0"/>
        <v>6.8612619026430482E-2</v>
      </c>
    </row>
    <row r="20" spans="1:3" x14ac:dyDescent="0.25">
      <c r="A20" s="59">
        <v>44743</v>
      </c>
      <c r="B20" s="60">
        <v>108.92</v>
      </c>
      <c r="C20" s="62">
        <f t="shared" si="0"/>
        <v>-9.293804130579611E-2</v>
      </c>
    </row>
    <row r="21" spans="1:3" x14ac:dyDescent="0.25">
      <c r="A21" s="59">
        <v>44774</v>
      </c>
      <c r="B21" s="60">
        <v>98.6</v>
      </c>
      <c r="C21" s="62">
        <f t="shared" si="0"/>
        <v>-9.4748439221447003E-2</v>
      </c>
    </row>
    <row r="22" spans="1:3" x14ac:dyDescent="0.25">
      <c r="A22" s="59">
        <v>44805</v>
      </c>
      <c r="B22" s="60">
        <v>90.16</v>
      </c>
      <c r="C22" s="62">
        <f t="shared" si="0"/>
        <v>-8.5598377281947247E-2</v>
      </c>
    </row>
    <row r="23" spans="1:3" x14ac:dyDescent="0.25">
      <c r="A23" s="59">
        <v>44835</v>
      </c>
      <c r="B23" s="60">
        <v>93.13</v>
      </c>
      <c r="C23" s="62">
        <f t="shared" si="0"/>
        <v>3.2941437444543024E-2</v>
      </c>
    </row>
    <row r="24" spans="1:3" x14ac:dyDescent="0.25">
      <c r="A24" s="59">
        <v>44866</v>
      </c>
      <c r="B24" s="60">
        <v>91.07</v>
      </c>
      <c r="C24" s="62">
        <f t="shared" si="0"/>
        <v>-2.2119617738644931E-2</v>
      </c>
    </row>
    <row r="25" spans="1:3" x14ac:dyDescent="0.25">
      <c r="A25" s="59">
        <v>44896</v>
      </c>
      <c r="B25" s="60">
        <v>80.900000000000006</v>
      </c>
      <c r="C25" s="62">
        <f t="shared" si="0"/>
        <v>-0.11167233995827372</v>
      </c>
    </row>
    <row r="26" spans="1:3" x14ac:dyDescent="0.25">
      <c r="A26" s="59">
        <v>44927</v>
      </c>
      <c r="B26" s="60">
        <v>83.09</v>
      </c>
      <c r="C26" s="62">
        <f t="shared" si="0"/>
        <v>2.7070457354758933E-2</v>
      </c>
    </row>
    <row r="27" spans="1:3" x14ac:dyDescent="0.25">
      <c r="A27" s="59">
        <v>44958</v>
      </c>
      <c r="B27" s="60">
        <v>82.71</v>
      </c>
      <c r="C27" s="62">
        <f t="shared" si="0"/>
        <v>-4.5733541942473178E-3</v>
      </c>
    </row>
    <row r="28" spans="1:3" x14ac:dyDescent="0.25">
      <c r="A28" s="59">
        <v>44986</v>
      </c>
      <c r="B28" s="60">
        <v>78.53</v>
      </c>
      <c r="C28" s="62">
        <f t="shared" si="0"/>
        <v>-5.0538024422681571E-2</v>
      </c>
    </row>
    <row r="29" spans="1:3" x14ac:dyDescent="0.25">
      <c r="A29" s="59">
        <v>45017</v>
      </c>
      <c r="B29" s="60">
        <v>84.11</v>
      </c>
      <c r="C29" s="62">
        <f t="shared" si="0"/>
        <v>7.1055647523239507E-2</v>
      </c>
    </row>
    <row r="30" spans="1:3" x14ac:dyDescent="0.25">
      <c r="A30" s="63">
        <v>45047</v>
      </c>
      <c r="B30" s="64">
        <v>75.7</v>
      </c>
      <c r="C30" s="65">
        <f t="shared" si="0"/>
        <v>-9.998811080727614E-2</v>
      </c>
    </row>
    <row r="33" spans="1:6" x14ac:dyDescent="0.25">
      <c r="A33" s="116" t="s">
        <v>65</v>
      </c>
      <c r="B33" s="116"/>
      <c r="C33" s="116"/>
      <c r="D33" s="116"/>
      <c r="E33" s="116"/>
      <c r="F33" s="116"/>
    </row>
    <row r="34" spans="1:6" ht="15" customHeight="1" x14ac:dyDescent="0.25">
      <c r="A34" s="115" t="s">
        <v>66</v>
      </c>
      <c r="B34" s="115"/>
      <c r="C34" s="115"/>
      <c r="D34" s="115"/>
      <c r="E34" s="115"/>
      <c r="F34" s="115"/>
    </row>
    <row r="35" spans="1:6" x14ac:dyDescent="0.25">
      <c r="A35" s="115"/>
      <c r="B35" s="115"/>
      <c r="C35" s="115"/>
      <c r="D35" s="115"/>
      <c r="E35" s="115"/>
      <c r="F35" s="115"/>
    </row>
    <row r="36" spans="1:6" x14ac:dyDescent="0.25">
      <c r="A36" s="115"/>
      <c r="B36" s="115"/>
      <c r="C36" s="115"/>
      <c r="D36" s="115"/>
      <c r="E36" s="115"/>
      <c r="F36" s="115"/>
    </row>
    <row r="37" spans="1:6" x14ac:dyDescent="0.25">
      <c r="A37" s="115"/>
      <c r="B37" s="115"/>
      <c r="C37" s="115"/>
      <c r="D37" s="115"/>
      <c r="E37" s="115"/>
      <c r="F37" s="115"/>
    </row>
    <row r="38" spans="1:6" x14ac:dyDescent="0.25">
      <c r="A38" s="115"/>
      <c r="B38" s="115"/>
      <c r="C38" s="115"/>
      <c r="D38" s="115"/>
      <c r="E38" s="115"/>
      <c r="F38" s="115"/>
    </row>
  </sheetData>
  <mergeCells count="2">
    <mergeCell ref="A34:F38"/>
    <mergeCell ref="A33:F33"/>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327834-D8B8-4A42-8F48-CADF0B001F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Q1 - Contribution</vt:lpstr>
      <vt:lpstr>Q2 - YoY Trend</vt:lpstr>
      <vt:lpstr>Q3 - Food Deep Dive</vt:lpstr>
      <vt:lpstr>Q4 - COVID Impact</vt:lpstr>
      <vt:lpstr>Q5 - Oil Correlation</vt:lpstr>
      <vt:lpstr>Cleaned Data</vt:lpstr>
      <vt:lpstr>Imputed Data</vt:lpstr>
      <vt:lpstr>MoM % Change</vt:lpstr>
      <vt:lpstr>YoY % Change</vt:lpstr>
      <vt:lpstr>Oil Price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2026-10-05T07:37:41Z</dcterms:modified>
</cp:coreProperties>
</file>